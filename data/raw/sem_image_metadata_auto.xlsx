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 activeTab="2"/>
  </bookViews>
  <sheets>
    <sheet name="使用说明" sheetId="1" r:id="rId1"/>
    <sheet name="01_电沉积参数" sheetId="2" r:id="rId2"/>
    <sheet name="02_SEM图像信息" sheetId="3" r:id="rId3"/>
    <sheet name="03_SEM单图结果" sheetId="4" r:id="rId4"/>
    <sheet name="04_SEM样品汇总" sheetId="5" r:id="rId5"/>
    <sheet name="05_PTFE溅射参数" sheetId="6" r:id="rId6"/>
    <sheet name="06_电化学测试" sheetId="7" r:id="rId7"/>
    <sheet name="字段说明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<sst xmlns="http://schemas.openxmlformats.org/spreadsheetml/2006/main" count="764" uniqueCount="378">
  <si>
    <t>CO2RR-SEM 真实数据整理模板（中文表头版）</t>
  </si>
  <si>
    <t>按中文表头整理 SEM 图像、电沉积、PTFE 溅射与电化学测试数据。</t>
  </si>
  <si>
    <t>步骤</t>
  </si>
  <si>
    <t>操作</t>
  </si>
  <si>
    <t>填写位置</t>
  </si>
  <si>
    <t>说明</t>
  </si>
  <si>
    <t>1</t>
  </si>
  <si>
    <t>建立样品编号</t>
  </si>
  <si>
    <t>所有表的“样品编号”</t>
  </si>
  <si>
    <t>如 ED001、ED002；同一样品全流程保持一致。</t>
  </si>
  <si>
    <t>2</t>
  </si>
  <si>
    <t>整理 SEM 图片</t>
  </si>
  <si>
    <t>data/raw/sem_images/</t>
  </si>
  <si>
    <t>建议按样品编号分文件夹，图片命名为 ED001_SEM_01_10kx.png。</t>
  </si>
  <si>
    <t>3</t>
  </si>
  <si>
    <t>填写电沉积参数</t>
  </si>
  <si>
    <t>01_电沉积参数</t>
  </si>
  <si>
    <t>每个样品一行。</t>
  </si>
  <si>
    <t>4</t>
  </si>
  <si>
    <t>填写 SEM 图像信息</t>
  </si>
  <si>
    <t>02_SEM图像信息</t>
  </si>
  <si>
    <t>每张 SEM 图一行，标尺实际长度和标尺像素必须填写。</t>
  </si>
  <si>
    <t>5</t>
  </si>
  <si>
    <t>填写/导入 SEM 分析结果</t>
  </si>
  <si>
    <t>03_SEM单图结果</t>
  </si>
  <si>
    <t>程序识别后输出覆盖率、粒径、均匀度等。</t>
  </si>
  <si>
    <t>6</t>
  </si>
  <si>
    <t>查看样品汇总</t>
  </si>
  <si>
    <t>04_SEM样品汇总</t>
  </si>
  <si>
    <t>按样品编号汇总多张 SEM 图，机器学习优先用这个表。</t>
  </si>
  <si>
    <t>7</t>
  </si>
  <si>
    <t>填写 PTFE 和电化学测试</t>
  </si>
  <si>
    <t>05、06 工作表</t>
  </si>
  <si>
    <t>用于后续性能预测模型训练。</t>
  </si>
  <si>
    <t>01 电沉积参数表</t>
  </si>
  <si>
    <t>黄色列为关键必填列；每个样品一行。</t>
  </si>
  <si>
    <t>样品编号</t>
  </si>
  <si>
    <t>电流_mA</t>
  </si>
  <si>
    <r>
      <rPr>
        <b/>
        <sz val="11"/>
        <color rgb="FFFFFFFF"/>
        <rFont val="宋体"/>
        <charset val="134"/>
      </rPr>
      <t>脉冲导通时间</t>
    </r>
    <r>
      <rPr>
        <b/>
        <sz val="11"/>
        <color rgb="FFFFFFFF"/>
        <rFont val="Carlito"/>
        <charset val="134"/>
      </rPr>
      <t>_ms</t>
    </r>
  </si>
  <si>
    <r>
      <rPr>
        <b/>
        <sz val="11"/>
        <color rgb="FFFFFFFF"/>
        <rFont val="宋体"/>
        <charset val="134"/>
      </rPr>
      <t>脉冲关断时间</t>
    </r>
    <r>
      <rPr>
        <b/>
        <sz val="11"/>
        <color rgb="FFFFFFFF"/>
        <rFont val="Carlito"/>
        <charset val="134"/>
      </rPr>
      <t>_ms</t>
    </r>
  </si>
  <si>
    <t>循环次数</t>
  </si>
  <si>
    <r>
      <rPr>
        <b/>
        <sz val="11"/>
        <color rgb="FFFFFFFF"/>
        <rFont val="Carlito"/>
        <charset val="134"/>
      </rPr>
      <t>AgNO3</t>
    </r>
    <r>
      <rPr>
        <b/>
        <sz val="11"/>
        <color rgb="FFFFFFFF"/>
        <rFont val="宋体"/>
        <charset val="134"/>
      </rPr>
      <t>浓度</t>
    </r>
    <r>
      <rPr>
        <b/>
        <sz val="11"/>
        <color rgb="FFFFFFFF"/>
        <rFont val="Carlito"/>
        <charset val="134"/>
      </rPr>
      <t>_mM</t>
    </r>
  </si>
  <si>
    <r>
      <rPr>
        <b/>
        <sz val="11"/>
        <color rgb="FFFFFFFF"/>
        <rFont val="Carlito"/>
        <charset val="134"/>
      </rPr>
      <t>KNO3</t>
    </r>
    <r>
      <rPr>
        <b/>
        <sz val="11"/>
        <color rgb="FFFFFFFF"/>
        <rFont val="宋体"/>
        <charset val="134"/>
      </rPr>
      <t>浓度</t>
    </r>
    <r>
      <rPr>
        <b/>
        <sz val="11"/>
        <color rgb="FFFFFFFF"/>
        <rFont val="Carlito"/>
        <charset val="134"/>
      </rPr>
      <t>_mM</t>
    </r>
  </si>
  <si>
    <r>
      <rPr>
        <b/>
        <sz val="11"/>
        <color rgb="FFFFFFFF"/>
        <rFont val="Carlito"/>
        <charset val="134"/>
      </rPr>
      <t>PVP</t>
    </r>
    <r>
      <rPr>
        <b/>
        <sz val="11"/>
        <color rgb="FFFFFFFF"/>
        <rFont val="宋体"/>
        <charset val="134"/>
      </rPr>
      <t>浓度</t>
    </r>
    <r>
      <rPr>
        <b/>
        <sz val="11"/>
        <color rgb="FFFFFFFF"/>
        <rFont val="Carlito"/>
        <charset val="134"/>
      </rPr>
      <t>_mM</t>
    </r>
  </si>
  <si>
    <r>
      <rPr>
        <b/>
        <sz val="11"/>
        <color rgb="FFFFFFFF"/>
        <rFont val="宋体"/>
        <charset val="134"/>
      </rPr>
      <t>柠檬酸钠浓度</t>
    </r>
    <r>
      <rPr>
        <b/>
        <sz val="11"/>
        <color rgb="FFFFFFFF"/>
        <rFont val="Carlito"/>
        <charset val="134"/>
      </rPr>
      <t>_mM</t>
    </r>
  </si>
  <si>
    <r>
      <rPr>
        <b/>
        <sz val="11"/>
        <color rgb="FFFFFFFF"/>
        <rFont val="宋体"/>
        <charset val="134"/>
      </rPr>
      <t>氨水浓度</t>
    </r>
    <r>
      <rPr>
        <b/>
        <sz val="11"/>
        <color rgb="FFFFFFFF"/>
        <rFont val="Times New Roman"/>
        <charset val="134"/>
      </rPr>
      <t>_mM</t>
    </r>
  </si>
  <si>
    <t>碳纸类型</t>
  </si>
  <si>
    <t>前处理方式</t>
  </si>
  <si>
    <t>ED001</t>
  </si>
  <si>
    <r>
      <rPr>
        <sz val="11"/>
        <rFont val="宋体"/>
        <charset val="134"/>
      </rPr>
      <t>疏水碳纸</t>
    </r>
  </si>
  <si>
    <r>
      <rPr>
        <sz val="11"/>
        <rFont val="宋体"/>
        <charset val="134"/>
      </rPr>
      <t>乙醇浸润</t>
    </r>
  </si>
  <si>
    <t>ED002</t>
  </si>
  <si>
    <t>ED003</t>
  </si>
  <si>
    <t>ED004</t>
  </si>
  <si>
    <t>ED005</t>
  </si>
  <si>
    <t>ED006</t>
  </si>
  <si>
    <t>ED007</t>
  </si>
  <si>
    <t>ED008</t>
  </si>
  <si>
    <t>ED009</t>
  </si>
  <si>
    <t>ED010</t>
  </si>
  <si>
    <t>ED011</t>
  </si>
  <si>
    <t>ED012</t>
  </si>
  <si>
    <t>ED013</t>
  </si>
  <si>
    <t>ED014</t>
  </si>
  <si>
    <t>ED015</t>
  </si>
  <si>
    <r>
      <rPr>
        <sz val="11"/>
        <rFont val="宋体"/>
        <charset val="134"/>
      </rPr>
      <t>异丙醇浸润</t>
    </r>
  </si>
  <si>
    <t>ED016</t>
  </si>
  <si>
    <t>ED017</t>
  </si>
  <si>
    <t>ED018</t>
  </si>
  <si>
    <t>ED019</t>
  </si>
  <si>
    <t>ED020</t>
  </si>
  <si>
    <t>ED021</t>
  </si>
  <si>
    <t>ED022</t>
  </si>
  <si>
    <t>ED023</t>
  </si>
  <si>
    <t>ED024</t>
  </si>
  <si>
    <t>ED025</t>
  </si>
  <si>
    <t>ED026</t>
  </si>
  <si>
    <t>ED027</t>
  </si>
  <si>
    <t>ED028</t>
  </si>
  <si>
    <t>ED029</t>
  </si>
  <si>
    <t>ED030</t>
  </si>
  <si>
    <t>ED031</t>
  </si>
  <si>
    <t xml:space="preserve"> </t>
  </si>
  <si>
    <t>02 SEM 图像信息表</t>
  </si>
  <si>
    <t>每张 SEM 图一行；标尺信息用于将像素换算成 nm。</t>
  </si>
  <si>
    <t>图像编号</t>
  </si>
  <si>
    <t>图像路径</t>
  </si>
  <si>
    <t>倍率</t>
  </si>
  <si>
    <t>标尺实际长度_nm</t>
  </si>
  <si>
    <t>标尺像素_px</t>
  </si>
  <si>
    <t>换算比例_nm_per_pixel</t>
  </si>
  <si>
    <t>加速电压_kV</t>
  </si>
  <si>
    <t>工作距离_mm</t>
  </si>
  <si>
    <t>视野编号</t>
  </si>
  <si>
    <t>图像质量</t>
  </si>
  <si>
    <t>是否用于建模</t>
  </si>
  <si>
    <t>ED001_01</t>
  </si>
  <si>
    <t>data/raw/sem_images/ED001/ED001_01.tif</t>
  </si>
  <si>
    <t>合格</t>
  </si>
  <si>
    <t>否</t>
  </si>
  <si>
    <t>ED001_02</t>
  </si>
  <si>
    <t>data/raw/sem_images/ED001/ED001_02.tif</t>
  </si>
  <si>
    <t>是</t>
  </si>
  <si>
    <t>ED001_03</t>
  </si>
  <si>
    <t>data/raw/sem_images/ED001/ED001_03.tif</t>
  </si>
  <si>
    <t>ED002_01</t>
  </si>
  <si>
    <t>data/raw/sem_images/ED002/ED002_01.tif</t>
  </si>
  <si>
    <t>ED002_02</t>
  </si>
  <si>
    <t>data/raw/sem_images/ED002/ED002_02.tif</t>
  </si>
  <si>
    <t>ED002_03</t>
  </si>
  <si>
    <t>data/raw/sem_images/ED002/ED002_03.tif</t>
  </si>
  <si>
    <t>ED003_01</t>
  </si>
  <si>
    <t>data/raw/sem_images/ED003/ED003_01.tif</t>
  </si>
  <si>
    <t>ED003_02</t>
  </si>
  <si>
    <t>data/raw/sem_images/ED003/ED003_02.tif</t>
  </si>
  <si>
    <t>ED003_03</t>
  </si>
  <si>
    <t>data/raw/sem_images/ED003/ED003_03.tif</t>
  </si>
  <si>
    <t>ED004_01</t>
  </si>
  <si>
    <t>data/raw/sem_images/ED004/ED004_01.tif</t>
  </si>
  <si>
    <t>ED004_02</t>
  </si>
  <si>
    <t>data/raw/sem_images/ED004/ED004_02.tif</t>
  </si>
  <si>
    <t>ED004_03</t>
  </si>
  <si>
    <t>data/raw/sem_images/ED004/ED004_03.tif</t>
  </si>
  <si>
    <t>ED005_01</t>
  </si>
  <si>
    <t>data/raw/sem_images/ED005/ED005_01.tif</t>
  </si>
  <si>
    <t>ED005_02</t>
  </si>
  <si>
    <t>data/raw/sem_images/ED005/ED005_02.tif</t>
  </si>
  <si>
    <t>ED005_03</t>
  </si>
  <si>
    <t>data/raw/sem_images/ED005/ED005_03.tif</t>
  </si>
  <si>
    <t>ED006_01</t>
  </si>
  <si>
    <t>data/raw/sem_images/ED006/ED006_01.tif</t>
  </si>
  <si>
    <t>ED006_02</t>
  </si>
  <si>
    <t>data/raw/sem_images/ED006/ED006_02.tif</t>
  </si>
  <si>
    <t>ED006_03</t>
  </si>
  <si>
    <t>data/raw/sem_images/ED006/ED006_03.tif</t>
  </si>
  <si>
    <t>ED007_01</t>
  </si>
  <si>
    <t>data/raw/sem_images/ED007/ED007_01.tif</t>
  </si>
  <si>
    <t>ED007_02</t>
  </si>
  <si>
    <t>data/raw/sem_images/ED007/ED007_02.tif</t>
  </si>
  <si>
    <t>ED007_03</t>
  </si>
  <si>
    <t>data/raw/sem_images/ED007/ED007_03.tif</t>
  </si>
  <si>
    <t>ED008_01</t>
  </si>
  <si>
    <t>data/raw/sem_images/ED008/ED008_01.tif</t>
  </si>
  <si>
    <t>ED008_02</t>
  </si>
  <si>
    <t>data/raw/sem_images/ED008/ED008_02.tif</t>
  </si>
  <si>
    <t>ED008_03</t>
  </si>
  <si>
    <t>data/raw/sem_images/ED008/ED008_03.tif</t>
  </si>
  <si>
    <t>ED009_01</t>
  </si>
  <si>
    <t>data/raw/sem_images/ED009/ED009_01.tif</t>
  </si>
  <si>
    <t>ED009_02</t>
  </si>
  <si>
    <t>data/raw/sem_images/ED009/ED009_02.tif</t>
  </si>
  <si>
    <t>ED009_03</t>
  </si>
  <si>
    <t>data/raw/sem_images/ED009/ED009_03.tif</t>
  </si>
  <si>
    <t>ED010_01</t>
  </si>
  <si>
    <t>data/raw/sem_images/ED010/ED010_01.tif</t>
  </si>
  <si>
    <t>ED010_02</t>
  </si>
  <si>
    <t>data/raw/sem_images/ED010/ED010_02.tif</t>
  </si>
  <si>
    <t>ED010_03</t>
  </si>
  <si>
    <t>data/raw/sem_images/ED010/ED010_03.tif</t>
  </si>
  <si>
    <t>ED011_01</t>
  </si>
  <si>
    <t>data/raw/sem_images/ED011/ED011_01.tif</t>
  </si>
  <si>
    <t>ED011_02</t>
  </si>
  <si>
    <t>data/raw/sem_images/ED011/ED011_02.tif</t>
  </si>
  <si>
    <t>ED011_03</t>
  </si>
  <si>
    <t>data/raw/sem_images/ED011/ED011_03.tif</t>
  </si>
  <si>
    <t>ED012_01</t>
  </si>
  <si>
    <t>data/raw/sem_images/ED012/ED012_01.tif</t>
  </si>
  <si>
    <t>ED012_02</t>
  </si>
  <si>
    <t>data/raw/sem_images/ED012/ED012_02.tif</t>
  </si>
  <si>
    <t>ED012_03</t>
  </si>
  <si>
    <t>data/raw/sem_images/ED012/ED012_03.tif</t>
  </si>
  <si>
    <t>ED013_01</t>
  </si>
  <si>
    <t>data/raw/sem_images/ED013/ED013_01.tif</t>
  </si>
  <si>
    <t>ED013_02</t>
  </si>
  <si>
    <t>data/raw/sem_images/ED013/ED013_02.tif</t>
  </si>
  <si>
    <t>ED013_03</t>
  </si>
  <si>
    <t>data/raw/sem_images/ED013/ED013_03.tif</t>
  </si>
  <si>
    <t>ED014_01</t>
  </si>
  <si>
    <t>data/raw/sem_images/ED014/ED014_01.tif</t>
  </si>
  <si>
    <t>ED014_02</t>
  </si>
  <si>
    <t>data/raw/sem_images/ED014/ED014_02.tif</t>
  </si>
  <si>
    <t>ED014_03</t>
  </si>
  <si>
    <t>data/raw/sem_images/ED014/ED014_03.tif</t>
  </si>
  <si>
    <t>ED015_01</t>
  </si>
  <si>
    <t>data/raw/sem_images/ED015/ED015_01.tif</t>
  </si>
  <si>
    <t>ED015_02</t>
  </si>
  <si>
    <t>data/raw/sem_images/ED015/ED015_02.tif</t>
  </si>
  <si>
    <t>ED015_03</t>
  </si>
  <si>
    <t>data/raw/sem_images/ED015/ED015_03.tif</t>
  </si>
  <si>
    <t>ED016_01</t>
  </si>
  <si>
    <t>data/raw/sem_images/ED016/ED016_01.tif</t>
  </si>
  <si>
    <t>ED016_02</t>
  </si>
  <si>
    <t>data/raw/sem_images/ED016/ED016_02.tif</t>
  </si>
  <si>
    <t>ED016_03</t>
  </si>
  <si>
    <t>data/raw/sem_images/ED016/ED016_03.tif</t>
  </si>
  <si>
    <t>ED017_01</t>
  </si>
  <si>
    <t>data/raw/sem_images/ED017/ED017_01.tif</t>
  </si>
  <si>
    <t>ED017_02</t>
  </si>
  <si>
    <t>data/raw/sem_images/ED017/ED017_02.tif</t>
  </si>
  <si>
    <t>ED017_03</t>
  </si>
  <si>
    <t>data/raw/sem_images/ED017/ED017_03.tif</t>
  </si>
  <si>
    <t>ED018_01</t>
  </si>
  <si>
    <t>data/raw/sem_images/ED018/ED018_01.tif</t>
  </si>
  <si>
    <t>ED018_02</t>
  </si>
  <si>
    <t>data/raw/sem_images/ED018/ED018_02.tif</t>
  </si>
  <si>
    <t>ED018_03</t>
  </si>
  <si>
    <t>data/raw/sem_images/ED018/ED018_03.tif</t>
  </si>
  <si>
    <t>ED019_01</t>
  </si>
  <si>
    <t>data/raw/sem_images/ED019/ED019_01.tif</t>
  </si>
  <si>
    <t>ED019_02</t>
  </si>
  <si>
    <t>data/raw/sem_images/ED019/ED019_02.tif</t>
  </si>
  <si>
    <t>ED019_03</t>
  </si>
  <si>
    <t>data/raw/sem_images/ED019/ED019_03.tif</t>
  </si>
  <si>
    <t>ED020_01</t>
  </si>
  <si>
    <t>data/raw/sem_images/ED020/ED020_01.tif</t>
  </si>
  <si>
    <t>ED020_02</t>
  </si>
  <si>
    <t>data/raw/sem_images/ED020/ED020_02.tif</t>
  </si>
  <si>
    <t>ED020_03</t>
  </si>
  <si>
    <t>data/raw/sem_images/ED020/ED020_03.tif</t>
  </si>
  <si>
    <t>ED021_01</t>
  </si>
  <si>
    <t>data/raw/sem_images/ED021/ED021_01.tif</t>
  </si>
  <si>
    <t>ED021_02</t>
  </si>
  <si>
    <t>data/raw/sem_images/ED021/ED021_02.tif</t>
  </si>
  <si>
    <t>ED021_03</t>
  </si>
  <si>
    <t>data/raw/sem_images/ED021/ED021_03.tif</t>
  </si>
  <si>
    <t>ED022_01</t>
  </si>
  <si>
    <t>data/raw/sem_images/ED022/ED022_01.tif</t>
  </si>
  <si>
    <t>ED022_02</t>
  </si>
  <si>
    <t>data/raw/sem_images/ED022/ED022_02.tif</t>
  </si>
  <si>
    <t>ED022_03</t>
  </si>
  <si>
    <t>data/raw/sem_images/ED022/ED022_03.tif</t>
  </si>
  <si>
    <t>ED023_01</t>
  </si>
  <si>
    <t>data/raw/sem_images/ED023/ED023_01.tif</t>
  </si>
  <si>
    <t>ED023_02</t>
  </si>
  <si>
    <t>data/raw/sem_images/ED023/ED023_02.tif</t>
  </si>
  <si>
    <t>ED023_03</t>
  </si>
  <si>
    <t>data/raw/sem_images/ED023/ED023_03.tif</t>
  </si>
  <si>
    <t>ED024_01</t>
  </si>
  <si>
    <t>data/raw/sem_images/ED024/ED024_01.tif</t>
  </si>
  <si>
    <t>ED024_02</t>
  </si>
  <si>
    <t>data/raw/sem_images/ED024/ED024_02.tif</t>
  </si>
  <si>
    <t>ED024_03</t>
  </si>
  <si>
    <t>data/raw/sem_images/ED024/ED024_03.tif</t>
  </si>
  <si>
    <t>ED025_01</t>
  </si>
  <si>
    <t>data/raw/sem_images/ED025/ED025_01.tif</t>
  </si>
  <si>
    <t>ED025_02</t>
  </si>
  <si>
    <t>data/raw/sem_images/ED025/ED025_02.tif</t>
  </si>
  <si>
    <t>ED025_03</t>
  </si>
  <si>
    <t>data/raw/sem_images/ED025/ED025_03.tif</t>
  </si>
  <si>
    <t>ED026_01</t>
  </si>
  <si>
    <t>data/raw/sem_images/ED026/ED026_01.tif</t>
  </si>
  <si>
    <t>ED026_02</t>
  </si>
  <si>
    <t>data/raw/sem_images/ED026/ED026_02.tif</t>
  </si>
  <si>
    <t>ED026_03</t>
  </si>
  <si>
    <t>data/raw/sem_images/ED026/ED026_03.tif</t>
  </si>
  <si>
    <t>ED027_01</t>
  </si>
  <si>
    <t>data/raw/sem_images/ED027/ED027_01.tif</t>
  </si>
  <si>
    <t>ED027_02</t>
  </si>
  <si>
    <t>data/raw/sem_images/ED027/ED027_02.tif</t>
  </si>
  <si>
    <t>ED027_03</t>
  </si>
  <si>
    <t>data/raw/sem_images/ED027/ED027_03.tif</t>
  </si>
  <si>
    <t>ED028_01</t>
  </si>
  <si>
    <t>data/raw/sem_images/ED028/ED028_01.tif</t>
  </si>
  <si>
    <t>ED028_02</t>
  </si>
  <si>
    <t>data/raw/sem_images/ED028/ED028_02.tif</t>
  </si>
  <si>
    <t>ED028_03</t>
  </si>
  <si>
    <t>data/raw/sem_images/ED028/ED028_03.tif</t>
  </si>
  <si>
    <t>ED029_01</t>
  </si>
  <si>
    <t>data/raw/sem_images/ED029/ED029_01.tif</t>
  </si>
  <si>
    <t>ED029_02</t>
  </si>
  <si>
    <t>data/raw/sem_images/ED029/ED029_02.tif</t>
  </si>
  <si>
    <t>ED029_03</t>
  </si>
  <si>
    <t>data/raw/sem_images/ED029/ED029_03.tif</t>
  </si>
  <si>
    <t>ED030_01</t>
  </si>
  <si>
    <t>data/raw/sem_images/ED030/ED030_01.tif</t>
  </si>
  <si>
    <t>ED030_02</t>
  </si>
  <si>
    <t>data/raw/sem_images/ED030/ED030_02.tif</t>
  </si>
  <si>
    <t>ED030_03</t>
  </si>
  <si>
    <t>data/raw/sem_images/ED030/ED030_03.tif</t>
  </si>
  <si>
    <t>ED031_01</t>
  </si>
  <si>
    <t>data/raw/sem_images/ED031/ED031_01.tif</t>
  </si>
  <si>
    <t>ED031_02</t>
  </si>
  <si>
    <t>data/raw/sem_images/ED031/ED031_02.tif</t>
  </si>
  <si>
    <t>ED031_03</t>
  </si>
  <si>
    <t>data/raw/sem_images/ED031/ED031_03.tif</t>
  </si>
  <si>
    <t>03 SEM 单图量化结果表</t>
  </si>
  <si>
    <t>一张 SEM 图一行；绿色列为公式换算结果。</t>
  </si>
  <si>
    <t>覆盖率_pct</t>
  </si>
  <si>
    <t>颗粒数量</t>
  </si>
  <si>
    <t>颗粒密度_个_per_μm2</t>
  </si>
  <si>
    <t>平均粒径_px</t>
  </si>
  <si>
    <t>平均粒径_nm</t>
  </si>
  <si>
    <t>粒径标准差_px</t>
  </si>
  <si>
    <t>粒径标准差_nm</t>
  </si>
  <si>
    <t>均匀度</t>
  </si>
  <si>
    <t>分散度_px</t>
  </si>
  <si>
    <t>分散度_nm</t>
  </si>
  <si>
    <t>过度生长指数</t>
  </si>
  <si>
    <t>团聚指数</t>
  </si>
  <si>
    <t>备注</t>
  </si>
  <si>
    <t>04 SEM 样品级汇总表</t>
  </si>
  <si>
    <t>根据 03_SEM单图结果 按样品编号汇总；机器学习优先使用本表。</t>
  </si>
  <si>
    <t>SEM图数量</t>
  </si>
  <si>
    <t>平均覆盖率_pct</t>
  </si>
  <si>
    <t>覆盖率标准差</t>
  </si>
  <si>
    <t>平均颗粒数量</t>
  </si>
  <si>
    <t>平均颗粒密度</t>
  </si>
  <si>
    <t>平均均匀度</t>
  </si>
  <si>
    <t>均匀度标准差</t>
  </si>
  <si>
    <t>平均分散度_nm</t>
  </si>
  <si>
    <t>分散度标准差_nm</t>
  </si>
  <si>
    <t>平均过度生长指数</t>
  </si>
  <si>
    <t>过度生长指数标准差</t>
  </si>
  <si>
    <t>平均团聚指数</t>
  </si>
  <si>
    <t>团聚指数标准差</t>
  </si>
  <si>
    <t>05 PTFE 磁控溅射参数与结果表</t>
  </si>
  <si>
    <t>每个样品一行；记录 PTFE 成膜工艺和结果。</t>
  </si>
  <si>
    <t>PTFE样品编号</t>
  </si>
  <si>
    <t>实验日期</t>
  </si>
  <si>
    <t>溅射功率_W</t>
  </si>
  <si>
    <t>保护气体压强_Pa</t>
  </si>
  <si>
    <t>溅射时间_s</t>
  </si>
  <si>
    <t>靶基距离_cm</t>
  </si>
  <si>
    <t>基底温度_C</t>
  </si>
  <si>
    <t>靶材</t>
  </si>
  <si>
    <t>PTFE厚度_nm</t>
  </si>
  <si>
    <t>PTFE均匀度</t>
  </si>
  <si>
    <t>成膜质量评分</t>
  </si>
  <si>
    <t>接触角_deg</t>
  </si>
  <si>
    <t>06 MEA 电化学测试与性能结果表</t>
  </si>
  <si>
    <t>记录 CO2RR 测试条件、稳定性、CO 法拉第效率及结构特征。</t>
  </si>
  <si>
    <t>测试编号</t>
  </si>
  <si>
    <t>测试日期</t>
  </si>
  <si>
    <t>电流密度_mA_cm2</t>
  </si>
  <si>
    <t>电解液类型</t>
  </si>
  <si>
    <t>电解液浓度_M</t>
  </si>
  <si>
    <t>CO2流量_sccm</t>
  </si>
  <si>
    <t>平均池电压_V</t>
  </si>
  <si>
    <t>稳定性_h</t>
  </si>
  <si>
    <t>CO法拉第效率_pct</t>
  </si>
  <si>
    <t>碳平衡_pct</t>
  </si>
  <si>
    <t>失效原因</t>
  </si>
  <si>
    <t>字段说明与单位规范</t>
  </si>
  <si>
    <t>后续代码可按这些中文表头读取数据；请尽量保持表头不变。</t>
  </si>
  <si>
    <t>工作表</t>
  </si>
  <si>
    <t>中文表头</t>
  </si>
  <si>
    <t>字段含义</t>
  </si>
  <si>
    <t>建议单位/格式</t>
  </si>
  <si>
    <t>是否必填</t>
  </si>
  <si>
    <t>每个实验样品唯一编号</t>
  </si>
  <si>
    <t>文本</t>
  </si>
  <si>
    <t>如 ED001</t>
  </si>
  <si>
    <t>脉冲电沉积电流</t>
  </si>
  <si>
    <t>mA</t>
  </si>
  <si>
    <t/>
  </si>
  <si>
    <t>脉冲导通时间_s</t>
  </si>
  <si>
    <t>ton</t>
  </si>
  <si>
    <t>s</t>
  </si>
  <si>
    <t>SEM 标尺真实长度</t>
  </si>
  <si>
    <t>nm</t>
  </si>
  <si>
    <t>1 μm 填 1000</t>
  </si>
  <si>
    <t>标尺图中像素长度</t>
  </si>
  <si>
    <t>px</t>
  </si>
  <si>
    <t>用 ImageJ 测量</t>
  </si>
  <si>
    <t>按 nm/px 换算后的平均粒径</t>
  </si>
  <si>
    <t>自动/必填</t>
  </si>
  <si>
    <t>同一样品多张图的平均值</t>
  </si>
  <si>
    <t>自动</t>
  </si>
  <si>
    <t>机器学习常用</t>
  </si>
  <si>
    <t>05_PTFE溅射参数</t>
  </si>
  <si>
    <t>PTFE 层厚度</t>
  </si>
  <si>
    <t>建议</t>
  </si>
  <si>
    <t>06_电化学测试</t>
  </si>
  <si>
    <t>稳定运行时间</t>
  </si>
  <si>
    <t>h</t>
  </si>
  <si>
    <t>输出目标</t>
  </si>
  <si>
    <t>CO 法拉第效率</t>
  </si>
  <si>
    <t>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</si>
</sst>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.000_ "/>
    <numFmt numFmtId="178" formatCode="0.0000_ "/>
    <numFmt numFmtId="179" formatCode="0.000"/>
  </numFmts>
  <fonts count="29">
    <font>
      <sz val="11"/>
      <name val="Carlito"/>
      <charset val="134"/>
    </font>
    <font>
      <b/>
      <sz val="16"/>
      <color rgb="FFFFFFFF"/>
      <name val="Carlito"/>
      <charset val="134"/>
    </font>
    <font>
      <i/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rgb="FFFFFFFF"/>
      <name val="宋体"/>
      <charset val="134"/>
    </font>
    <font>
      <sz val="11"/>
      <color theme="1"/>
      <name val="Calibri"/>
      <charset val="134"/>
      <scheme val="minor"/>
    </font>
    <font>
      <sz val="1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宋体"/>
      <charset val="134"/>
    </font>
    <font>
      <b/>
      <sz val="11"/>
      <color rgb="FFFFFFFF"/>
      <name val="Times New Roman"/>
      <charset val="134"/>
    </font>
  </fonts>
  <fills count="3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3F8F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8" borderId="4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0" fillId="0" borderId="0"/>
  </cellStyleXfs>
  <cellXfs count="16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wrapText="1"/>
    </xf>
    <xf numFmtId="0" fontId="2" fillId="3" borderId="0" xfId="49" applyNumberFormat="1" applyFont="1" applyFill="1" applyBorder="1" applyAlignment="1">
      <alignment wrapText="1"/>
    </xf>
    <xf numFmtId="0" fontId="3" fillId="2" borderId="0" xfId="49" applyNumberFormat="1" applyFont="1" applyFill="1" applyBorder="1" applyAlignment="1">
      <alignment horizontal="center" vertical="center" wrapText="1"/>
    </xf>
    <xf numFmtId="0" fontId="0" fillId="4" borderId="0" xfId="49" applyNumberFormat="1" applyFont="1" applyFill="1" applyBorder="1" applyAlignment="1">
      <alignment wrapText="1"/>
    </xf>
    <xf numFmtId="176" fontId="0" fillId="4" borderId="0" xfId="49" applyNumberFormat="1" applyFont="1" applyFill="1" applyBorder="1" applyAlignment="1">
      <alignment wrapText="1"/>
    </xf>
    <xf numFmtId="0" fontId="0" fillId="5" borderId="0" xfId="49" applyNumberFormat="1" applyFont="1" applyFill="1" applyBorder="1" applyAlignment="1">
      <alignment wrapText="1"/>
    </xf>
    <xf numFmtId="0" fontId="0" fillId="3" borderId="0" xfId="49" applyNumberFormat="1" applyFont="1" applyFill="1" applyBorder="1" applyAlignment="1">
      <alignment wrapText="1"/>
    </xf>
    <xf numFmtId="0" fontId="4" fillId="2" borderId="0" xfId="49" applyNumberFormat="1" applyFont="1" applyFill="1" applyBorder="1" applyAlignment="1">
      <alignment horizontal="center" vertical="center" wrapText="1"/>
    </xf>
    <xf numFmtId="0" fontId="5" fillId="0" borderId="0" xfId="0" applyFont="1" applyFill="1" applyAlignment="1"/>
    <xf numFmtId="177" fontId="5" fillId="0" borderId="0" xfId="0" applyNumberFormat="1" applyFont="1" applyFill="1" applyAlignment="1"/>
    <xf numFmtId="178" fontId="5" fillId="0" borderId="0" xfId="0" applyNumberFormat="1" applyFont="1" applyFill="1" applyAlignment="1"/>
    <xf numFmtId="0" fontId="6" fillId="4" borderId="0" xfId="49" applyNumberFormat="1" applyFont="1" applyFill="1" applyBorder="1" applyAlignment="1">
      <alignment wrapText="1"/>
    </xf>
    <xf numFmtId="179" fontId="6" fillId="4" borderId="0" xfId="49" applyNumberFormat="1" applyFont="1" applyFill="1" applyBorder="1" applyAlignment="1">
      <alignment wrapText="1"/>
    </xf>
    <xf numFmtId="0" fontId="6" fillId="3" borderId="0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9"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  <fill>
        <patternFill patternType="solid">
          <bgColor rgb="FFFFFF00"/>
        </patternFill>
      </fill>
    </dxf>
    <dxf>
      <font>
        <name val="Times New Roman"/>
        <scheme val="none"/>
      </font>
    </dxf>
    <dxf>
      <font>
        <name val="Times New Roman"/>
        <scheme val="none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28"/>
      <tableStyleElement type="totalRow" dxfId="27"/>
      <tableStyleElement type="firstRowStripe" dxfId="26"/>
      <tableStyleElement type="firstColumnStripe" dxfId="25"/>
      <tableStyleElement type="firstSubtotalRow" dxfId="24"/>
      <tableStyleElement type="secondSubtotalRow" dxfId="23"/>
      <tableStyleElement type="firstRowSubheading" dxfId="22"/>
      <tableStyleElement type="secondRowSubheading" dxfId="21"/>
      <tableStyleElement type="pageFieldLabels" dxfId="20"/>
      <tableStyleElement type="pageFieldValues" dxfId="1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使用说明表" displayName="使用说明表" ref="A4:D11">
  <tableColumns count="4">
    <tableColumn id="1" name="步骤"/>
    <tableColumn id="2" name="操作"/>
    <tableColumn id="3" name="填写位置"/>
    <tableColumn id="4" name="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电沉积参数表" displayName="电沉积参数表" ref="A4:L100">
  <tableColumns count="12">
    <tableColumn id="1" name="样品编号" dataDxfId="0"/>
    <tableColumn id="4" name="电流_mA" dataDxfId="1"/>
    <tableColumn id="5" name="脉冲导通时间_ms" dataDxfId="2"/>
    <tableColumn id="6" name="脉冲关断时间_ms" dataDxfId="3"/>
    <tableColumn id="7" name="循环次数" dataDxfId="4"/>
    <tableColumn id="8" name="AgNO3浓度_mM" dataDxfId="5"/>
    <tableColumn id="9" name="KNO3浓度_mM" dataDxfId="6"/>
    <tableColumn id="10" name="PVP浓度_mM" dataDxfId="7"/>
    <tableColumn id="11" name="柠檬酸钠浓度_mM" dataDxfId="8"/>
    <tableColumn id="2" name="氨水浓度_mM" dataDxfId="9"/>
    <tableColumn id="12" name="碳纸类型" dataDxfId="10"/>
    <tableColumn id="13" name="前处理方式" dataDxfId="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EM图像信息表" displayName="SEM图像信息表" ref="A4:L100">
  <tableColumns count="12">
    <tableColumn id="1" name="图像编号"/>
    <tableColumn id="2" name="样品编号"/>
    <tableColumn id="3" name="图像路径"/>
    <tableColumn id="4" name="倍率"/>
    <tableColumn id="5" name="标尺实际长度_nm"/>
    <tableColumn id="6" name="标尺像素_px"/>
    <tableColumn id="7" name="换算比例_nm_per_pixel"/>
    <tableColumn id="8" name="加速电压_kV"/>
    <tableColumn id="9" name="工作距离_mm"/>
    <tableColumn id="10" name="视野编号"/>
    <tableColumn id="11" name="图像质量"/>
    <tableColumn id="12" name="是否用于建模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EM单图结果表" displayName="SEM单图结果表" ref="A4:O100">
  <tableColumns count="15">
    <tableColumn id="1" name="图像编号"/>
    <tableColumn id="2" name="样品编号"/>
    <tableColumn id="3" name="覆盖率_pct"/>
    <tableColumn id="4" name="颗粒数量"/>
    <tableColumn id="5" name="颗粒密度_个_per_μm2"/>
    <tableColumn id="6" name="平均粒径_px"/>
    <tableColumn id="7" name="平均粒径_nm"/>
    <tableColumn id="8" name="粒径标准差_px"/>
    <tableColumn id="9" name="粒径标准差_nm"/>
    <tableColumn id="10" name="均匀度"/>
    <tableColumn id="11" name="分散度_px"/>
    <tableColumn id="12" name="分散度_nm"/>
    <tableColumn id="13" name="过度生长指数"/>
    <tableColumn id="14" name="团聚指数"/>
    <tableColumn id="15" name="备注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EM样品汇总表" displayName="SEM样品汇总表" ref="A4:Q34">
  <tableColumns count="17">
    <tableColumn id="1" name="样品编号"/>
    <tableColumn id="2" name="SEM图数量"/>
    <tableColumn id="3" name="平均覆盖率_pct"/>
    <tableColumn id="4" name="覆盖率标准差"/>
    <tableColumn id="5" name="平均颗粒数量"/>
    <tableColumn id="6" name="平均颗粒密度"/>
    <tableColumn id="7" name="平均粒径_nm"/>
    <tableColumn id="8" name="粒径标准差_nm"/>
    <tableColumn id="9" name="平均均匀度"/>
    <tableColumn id="10" name="均匀度标准差"/>
    <tableColumn id="11" name="平均分散度_nm"/>
    <tableColumn id="12" name="分散度标准差_nm"/>
    <tableColumn id="13" name="平均过度生长指数"/>
    <tableColumn id="14" name="过度生长指数标准差"/>
    <tableColumn id="15" name="平均团聚指数"/>
    <tableColumn id="16" name="团聚指数标准差"/>
    <tableColumn id="17" name="备注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PTFE溅射参数表" displayName="PTFE溅射参数表" ref="A4:O100">
  <tableColumns count="15">
    <tableColumn id="1" name="样品编号"/>
    <tableColumn id="2" name="PTFE样品编号"/>
    <tableColumn id="3" name="实验日期"/>
    <tableColumn id="4" name="溅射功率_W"/>
    <tableColumn id="5" name="保护气体压强_Pa"/>
    <tableColumn id="6" name="溅射时间_s"/>
    <tableColumn id="7" name="靶基距离_cm"/>
    <tableColumn id="8" name="基底温度_C"/>
    <tableColumn id="9" name="靶材"/>
    <tableColumn id="10" name="PTFE厚度_nm"/>
    <tableColumn id="11" name="PTFE均匀度"/>
    <tableColumn id="12" name="成膜质量评分"/>
    <tableColumn id="13" name="接触角_deg"/>
    <tableColumn id="14" name="是否用于建模"/>
    <tableColumn id="15" name="备注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电化学测试表" displayName="电化学测试表" ref="A4:T100">
  <tableColumns count="20">
    <tableColumn id="1" name="样品编号"/>
    <tableColumn id="2" name="测试编号"/>
    <tableColumn id="3" name="测试日期"/>
    <tableColumn id="4" name="电流密度_mA_cm2"/>
    <tableColumn id="5" name="电解液类型"/>
    <tableColumn id="6" name="电解液浓度_M"/>
    <tableColumn id="7" name="CO2流量_sccm"/>
    <tableColumn id="8" name="平均池电压_V"/>
    <tableColumn id="9" name="稳定性_h"/>
    <tableColumn id="10" name="CO法拉第效率_pct"/>
    <tableColumn id="11" name="碳平衡_pct"/>
    <tableColumn id="12" name="平均粒径_nm"/>
    <tableColumn id="13" name="均匀度"/>
    <tableColumn id="14" name="分散度_nm"/>
    <tableColumn id="15" name="过度生长指数"/>
    <tableColumn id="16" name="PTFE厚度_nm"/>
    <tableColumn id="17" name="PTFE均匀度"/>
    <tableColumn id="18" name="是否用于建模"/>
    <tableColumn id="19" name="失效原因"/>
    <tableColumn id="20" name="备注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字段说明表" displayName="字段说明表" ref="A4:F14">
  <tableColumns count="6">
    <tableColumn id="1" name="工作表"/>
    <tableColumn id="2" name="中文表头"/>
    <tableColumn id="3" name="字段含义"/>
    <tableColumn id="4" name="建议单位/格式"/>
    <tableColumn id="5" name="是否必填"/>
    <tableColumn id="6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20"/>
  <sheetViews>
    <sheetView workbookViewId="0">
      <selection activeCell="A1" sqref="A1:J1"/>
    </sheetView>
  </sheetViews>
  <sheetFormatPr defaultColWidth="9" defaultRowHeight="14"/>
  <cols>
    <col min="1" max="1" width="10" customWidth="1"/>
    <col min="2" max="3" width="28" customWidth="1"/>
    <col min="4" max="4" width="70" customWidth="1"/>
  </cols>
  <sheetData>
    <row r="1" ht="30" customHeight="1" spans="1:2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4" customHeight="1" spans="1:26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6" customHeight="1" spans="1:26">
      <c r="A4" s="4" t="s">
        <v>2</v>
      </c>
      <c r="B4" s="4" t="s">
        <v>3</v>
      </c>
      <c r="C4" s="4" t="s">
        <v>4</v>
      </c>
      <c r="D4" s="4" t="s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6</v>
      </c>
      <c r="B5" s="2" t="s">
        <v>7</v>
      </c>
      <c r="C5" s="2" t="s">
        <v>8</v>
      </c>
      <c r="D5" s="2" t="s">
        <v>9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10</v>
      </c>
      <c r="B6" s="2" t="s">
        <v>11</v>
      </c>
      <c r="C6" s="2" t="s">
        <v>12</v>
      </c>
      <c r="D6" s="2" t="s">
        <v>13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14</v>
      </c>
      <c r="B7" s="2" t="s">
        <v>15</v>
      </c>
      <c r="C7" s="2" t="s">
        <v>16</v>
      </c>
      <c r="D7" s="2" t="s">
        <v>17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18</v>
      </c>
      <c r="B8" s="2" t="s">
        <v>19</v>
      </c>
      <c r="C8" s="2" t="s">
        <v>20</v>
      </c>
      <c r="D8" s="2" t="s">
        <v>21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22</v>
      </c>
      <c r="B9" s="2" t="s">
        <v>23</v>
      </c>
      <c r="C9" s="2" t="s">
        <v>24</v>
      </c>
      <c r="D9" s="2" t="s">
        <v>25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26</v>
      </c>
      <c r="B10" s="2" t="s">
        <v>27</v>
      </c>
      <c r="C10" s="2" t="s">
        <v>28</v>
      </c>
      <c r="D10" s="2" t="s">
        <v>29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 t="s">
        <v>30</v>
      </c>
      <c r="B11" s="2" t="s">
        <v>31</v>
      </c>
      <c r="C11" s="2" t="s">
        <v>32</v>
      </c>
      <c r="D11" s="2" t="s">
        <v>33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</sheetData>
  <mergeCells count="2">
    <mergeCell ref="A1:J1"/>
    <mergeCell ref="A2:J2"/>
  </mergeCell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20"/>
  <sheetViews>
    <sheetView zoomScale="70" zoomScaleNormal="70" workbookViewId="0">
      <selection activeCell="O38" sqref="O38"/>
    </sheetView>
  </sheetViews>
  <sheetFormatPr defaultColWidth="9" defaultRowHeight="14"/>
  <cols>
    <col min="1" max="1" width="14" customWidth="1"/>
    <col min="2" max="2" width="12" customWidth="1"/>
    <col min="3" max="4" width="18" customWidth="1"/>
    <col min="5" max="5" width="10" customWidth="1"/>
    <col min="6" max="6" width="16.75" customWidth="1"/>
    <col min="7" max="8" width="14" customWidth="1"/>
    <col min="9" max="9" width="18" customWidth="1"/>
    <col min="10" max="11" width="16" customWidth="1"/>
    <col min="12" max="12" width="18" customWidth="1"/>
  </cols>
  <sheetData>
    <row r="1" ht="30" customHeight="1" spans="1:24">
      <c r="A1" s="1" t="s">
        <v>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34" customHeight="1" spans="1:24">
      <c r="A2" s="3" t="s">
        <v>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36" customHeight="1" spans="1:24">
      <c r="A4" s="4" t="s">
        <v>36</v>
      </c>
      <c r="B4" s="4" t="s">
        <v>37</v>
      </c>
      <c r="C4" s="9" t="s">
        <v>38</v>
      </c>
      <c r="D4" s="9" t="s">
        <v>39</v>
      </c>
      <c r="E4" s="4" t="s">
        <v>40</v>
      </c>
      <c r="F4" s="4" t="s">
        <v>41</v>
      </c>
      <c r="G4" s="4" t="s">
        <v>42</v>
      </c>
      <c r="H4" s="4" t="s">
        <v>43</v>
      </c>
      <c r="I4" s="9" t="s">
        <v>44</v>
      </c>
      <c r="J4" s="9" t="s">
        <v>45</v>
      </c>
      <c r="K4" s="4" t="s">
        <v>46</v>
      </c>
      <c r="L4" s="4" t="s">
        <v>47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>
      <c r="A5" s="13" t="s">
        <v>48</v>
      </c>
      <c r="B5" s="14">
        <v>5</v>
      </c>
      <c r="C5" s="14">
        <v>50</v>
      </c>
      <c r="D5" s="14">
        <v>0.25</v>
      </c>
      <c r="E5" s="14">
        <v>400</v>
      </c>
      <c r="F5" s="14">
        <v>10</v>
      </c>
      <c r="G5" s="14">
        <v>1000</v>
      </c>
      <c r="H5" s="14">
        <v>0</v>
      </c>
      <c r="I5" s="14">
        <v>0</v>
      </c>
      <c r="J5" s="14">
        <v>0</v>
      </c>
      <c r="K5" s="15" t="s">
        <v>49</v>
      </c>
      <c r="L5" s="15" t="s">
        <v>50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>
      <c r="A6" s="13" t="s">
        <v>51</v>
      </c>
      <c r="B6" s="14">
        <v>5</v>
      </c>
      <c r="C6" s="14">
        <v>50</v>
      </c>
      <c r="D6" s="14">
        <v>0.25</v>
      </c>
      <c r="E6" s="14">
        <v>400</v>
      </c>
      <c r="F6" s="14">
        <v>5</v>
      </c>
      <c r="G6" s="14">
        <v>500</v>
      </c>
      <c r="H6" s="14">
        <v>0</v>
      </c>
      <c r="I6" s="14">
        <v>0</v>
      </c>
      <c r="J6" s="14">
        <v>0</v>
      </c>
      <c r="K6" s="15" t="s">
        <v>49</v>
      </c>
      <c r="L6" s="15" t="s">
        <v>50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>
      <c r="A7" s="13" t="s">
        <v>52</v>
      </c>
      <c r="B7" s="14">
        <v>5</v>
      </c>
      <c r="C7" s="14">
        <v>50</v>
      </c>
      <c r="D7" s="14">
        <v>0.25</v>
      </c>
      <c r="E7" s="14">
        <v>400</v>
      </c>
      <c r="F7" s="14">
        <v>2</v>
      </c>
      <c r="G7" s="14">
        <v>200</v>
      </c>
      <c r="H7" s="14">
        <v>0</v>
      </c>
      <c r="I7" s="14">
        <v>0</v>
      </c>
      <c r="J7" s="14">
        <v>0</v>
      </c>
      <c r="K7" s="15" t="s">
        <v>49</v>
      </c>
      <c r="L7" s="15" t="s">
        <v>50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>
      <c r="A8" s="13" t="s">
        <v>53</v>
      </c>
      <c r="B8" s="14">
        <v>5</v>
      </c>
      <c r="C8" s="14">
        <v>50</v>
      </c>
      <c r="D8" s="14">
        <v>0.25</v>
      </c>
      <c r="E8" s="14">
        <v>400</v>
      </c>
      <c r="F8" s="14">
        <v>1</v>
      </c>
      <c r="G8" s="14">
        <v>100</v>
      </c>
      <c r="H8" s="14">
        <v>0</v>
      </c>
      <c r="I8" s="14">
        <v>0</v>
      </c>
      <c r="J8" s="14">
        <v>0</v>
      </c>
      <c r="K8" s="15" t="s">
        <v>49</v>
      </c>
      <c r="L8" s="15" t="s">
        <v>50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>
      <c r="A9" s="13" t="s">
        <v>54</v>
      </c>
      <c r="B9" s="14">
        <v>5</v>
      </c>
      <c r="C9" s="14">
        <v>50</v>
      </c>
      <c r="D9" s="14">
        <v>0.25</v>
      </c>
      <c r="E9" s="14">
        <v>400</v>
      </c>
      <c r="F9" s="14">
        <v>0.5</v>
      </c>
      <c r="G9" s="14">
        <v>50</v>
      </c>
      <c r="H9" s="14">
        <v>0</v>
      </c>
      <c r="I9" s="14">
        <v>0</v>
      </c>
      <c r="J9" s="14">
        <v>0</v>
      </c>
      <c r="K9" s="15" t="s">
        <v>49</v>
      </c>
      <c r="L9" s="15" t="s">
        <v>50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>
      <c r="A10" s="13" t="s">
        <v>55</v>
      </c>
      <c r="B10" s="14">
        <v>5</v>
      </c>
      <c r="C10" s="14">
        <v>50</v>
      </c>
      <c r="D10" s="14">
        <v>0.25</v>
      </c>
      <c r="E10" s="14">
        <v>400</v>
      </c>
      <c r="F10" s="14">
        <v>0.05</v>
      </c>
      <c r="G10" s="14">
        <v>5</v>
      </c>
      <c r="H10" s="14">
        <v>0</v>
      </c>
      <c r="I10" s="14">
        <v>0</v>
      </c>
      <c r="J10" s="14">
        <v>0</v>
      </c>
      <c r="K10" s="15" t="s">
        <v>49</v>
      </c>
      <c r="L10" s="15" t="s">
        <v>50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>
      <c r="A11" s="13" t="s">
        <v>56</v>
      </c>
      <c r="B11" s="14">
        <v>5</v>
      </c>
      <c r="C11" s="14">
        <v>50</v>
      </c>
      <c r="D11" s="14">
        <v>0.25</v>
      </c>
      <c r="E11" s="14">
        <v>300</v>
      </c>
      <c r="F11" s="14">
        <v>0.5</v>
      </c>
      <c r="G11" s="14">
        <v>50</v>
      </c>
      <c r="H11" s="14">
        <v>0</v>
      </c>
      <c r="I11" s="14">
        <v>0</v>
      </c>
      <c r="J11" s="14">
        <v>0</v>
      </c>
      <c r="K11" s="15" t="s">
        <v>49</v>
      </c>
      <c r="L11" s="15" t="s">
        <v>50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>
      <c r="A12" s="13" t="s">
        <v>57</v>
      </c>
      <c r="B12" s="14">
        <v>5</v>
      </c>
      <c r="C12" s="14">
        <v>50</v>
      </c>
      <c r="D12" s="14">
        <v>0.25</v>
      </c>
      <c r="E12" s="14">
        <v>200</v>
      </c>
      <c r="F12" s="14">
        <v>0.5</v>
      </c>
      <c r="G12" s="14">
        <v>50</v>
      </c>
      <c r="H12" s="14">
        <v>0</v>
      </c>
      <c r="I12" s="14">
        <v>0</v>
      </c>
      <c r="J12" s="14">
        <v>0</v>
      </c>
      <c r="K12" s="15" t="s">
        <v>49</v>
      </c>
      <c r="L12" s="15" t="s">
        <v>50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>
      <c r="A13" s="13" t="s">
        <v>58</v>
      </c>
      <c r="B13" s="14">
        <v>5</v>
      </c>
      <c r="C13" s="14">
        <v>50</v>
      </c>
      <c r="D13" s="14">
        <v>0.25</v>
      </c>
      <c r="E13" s="14">
        <v>100</v>
      </c>
      <c r="F13" s="14">
        <v>0.5</v>
      </c>
      <c r="G13" s="14">
        <v>50</v>
      </c>
      <c r="H13" s="14">
        <v>0</v>
      </c>
      <c r="I13" s="14">
        <v>0</v>
      </c>
      <c r="J13" s="14">
        <v>0</v>
      </c>
      <c r="K13" s="15" t="s">
        <v>49</v>
      </c>
      <c r="L13" s="15" t="s">
        <v>50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>
      <c r="A14" s="13" t="s">
        <v>59</v>
      </c>
      <c r="B14" s="14">
        <v>5</v>
      </c>
      <c r="C14" s="14">
        <v>25</v>
      </c>
      <c r="D14" s="14">
        <v>0.25</v>
      </c>
      <c r="E14" s="14">
        <v>400</v>
      </c>
      <c r="F14" s="14">
        <v>0.5</v>
      </c>
      <c r="G14" s="14">
        <v>50</v>
      </c>
      <c r="H14" s="14">
        <v>0</v>
      </c>
      <c r="I14" s="14">
        <v>0</v>
      </c>
      <c r="J14" s="14">
        <v>0</v>
      </c>
      <c r="K14" s="15" t="s">
        <v>49</v>
      </c>
      <c r="L14" s="15" t="s">
        <v>50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>
      <c r="A15" s="13" t="s">
        <v>60</v>
      </c>
      <c r="B15" s="14">
        <v>5</v>
      </c>
      <c r="C15" s="14">
        <v>17</v>
      </c>
      <c r="D15" s="14">
        <v>0.25</v>
      </c>
      <c r="E15" s="14">
        <v>400</v>
      </c>
      <c r="F15" s="14">
        <v>0.5</v>
      </c>
      <c r="G15" s="14">
        <v>50</v>
      </c>
      <c r="H15" s="14">
        <v>0</v>
      </c>
      <c r="I15" s="14">
        <v>0</v>
      </c>
      <c r="J15" s="14">
        <v>0</v>
      </c>
      <c r="K15" s="15" t="s">
        <v>49</v>
      </c>
      <c r="L15" s="15" t="s">
        <v>50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>
      <c r="A16" s="13" t="s">
        <v>61</v>
      </c>
      <c r="B16" s="14">
        <v>5</v>
      </c>
      <c r="C16" s="14">
        <v>10</v>
      </c>
      <c r="D16" s="14">
        <v>0.25</v>
      </c>
      <c r="E16" s="14">
        <v>400</v>
      </c>
      <c r="F16" s="14">
        <v>0.5</v>
      </c>
      <c r="G16" s="14">
        <v>50</v>
      </c>
      <c r="H16" s="14">
        <v>0</v>
      </c>
      <c r="I16" s="14">
        <v>0</v>
      </c>
      <c r="J16" s="14">
        <v>0</v>
      </c>
      <c r="K16" s="15" t="s">
        <v>49</v>
      </c>
      <c r="L16" s="15" t="s">
        <v>50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>
      <c r="A17" s="13" t="s">
        <v>62</v>
      </c>
      <c r="B17" s="14">
        <v>4</v>
      </c>
      <c r="C17" s="14">
        <v>50</v>
      </c>
      <c r="D17" s="14">
        <v>0.25</v>
      </c>
      <c r="E17" s="14">
        <v>400</v>
      </c>
      <c r="F17" s="14">
        <v>0.5</v>
      </c>
      <c r="G17" s="14">
        <v>50</v>
      </c>
      <c r="H17" s="14">
        <v>0</v>
      </c>
      <c r="I17" s="14">
        <v>0</v>
      </c>
      <c r="J17" s="14">
        <v>0</v>
      </c>
      <c r="K17" s="15" t="s">
        <v>49</v>
      </c>
      <c r="L17" s="15" t="s">
        <v>50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>
      <c r="A18" s="13" t="s">
        <v>63</v>
      </c>
      <c r="B18" s="14">
        <v>3</v>
      </c>
      <c r="C18" s="14">
        <v>50</v>
      </c>
      <c r="D18" s="14">
        <v>0.25</v>
      </c>
      <c r="E18" s="14">
        <v>400</v>
      </c>
      <c r="F18" s="14">
        <v>0.5</v>
      </c>
      <c r="G18" s="14">
        <v>50</v>
      </c>
      <c r="H18" s="14">
        <v>0</v>
      </c>
      <c r="I18" s="14">
        <v>0</v>
      </c>
      <c r="J18" s="14">
        <v>0</v>
      </c>
      <c r="K18" s="15" t="s">
        <v>49</v>
      </c>
      <c r="L18" s="15" t="s">
        <v>50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>
      <c r="A19" s="13" t="s">
        <v>64</v>
      </c>
      <c r="B19" s="14">
        <v>5</v>
      </c>
      <c r="C19" s="14">
        <v>50</v>
      </c>
      <c r="D19" s="14">
        <v>0.25</v>
      </c>
      <c r="E19" s="14">
        <v>400</v>
      </c>
      <c r="F19" s="14">
        <v>0.2</v>
      </c>
      <c r="G19" s="14">
        <v>20</v>
      </c>
      <c r="H19" s="14">
        <v>0</v>
      </c>
      <c r="I19" s="14">
        <v>0</v>
      </c>
      <c r="J19" s="14">
        <v>0</v>
      </c>
      <c r="K19" s="15" t="s">
        <v>49</v>
      </c>
      <c r="L19" s="15" t="s">
        <v>65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>
      <c r="A20" s="13" t="s">
        <v>66</v>
      </c>
      <c r="B20" s="14">
        <v>5</v>
      </c>
      <c r="C20" s="14">
        <v>50</v>
      </c>
      <c r="D20" s="14">
        <v>0.25</v>
      </c>
      <c r="E20" s="14">
        <v>400</v>
      </c>
      <c r="F20" s="14">
        <v>0.3</v>
      </c>
      <c r="G20" s="14">
        <v>30</v>
      </c>
      <c r="H20" s="14">
        <v>0</v>
      </c>
      <c r="I20" s="14">
        <v>0</v>
      </c>
      <c r="J20" s="14">
        <v>0</v>
      </c>
      <c r="K20" s="15" t="s">
        <v>49</v>
      </c>
      <c r="L20" s="15" t="s">
        <v>65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>
      <c r="A21" s="13" t="s">
        <v>67</v>
      </c>
      <c r="B21" s="14">
        <v>5</v>
      </c>
      <c r="C21" s="14">
        <v>50</v>
      </c>
      <c r="D21" s="14">
        <v>0.25</v>
      </c>
      <c r="E21" s="14">
        <v>400</v>
      </c>
      <c r="F21" s="14">
        <v>0.4</v>
      </c>
      <c r="G21" s="14">
        <v>40</v>
      </c>
      <c r="H21" s="14">
        <v>0</v>
      </c>
      <c r="I21" s="14">
        <v>0</v>
      </c>
      <c r="J21" s="14">
        <v>0</v>
      </c>
      <c r="K21" s="15" t="s">
        <v>49</v>
      </c>
      <c r="L21" s="15" t="s">
        <v>65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>
      <c r="A22" s="13" t="s">
        <v>68</v>
      </c>
      <c r="B22" s="14">
        <v>5</v>
      </c>
      <c r="C22" s="14">
        <v>25</v>
      </c>
      <c r="D22" s="14">
        <v>0.25</v>
      </c>
      <c r="E22" s="14">
        <v>400</v>
      </c>
      <c r="F22" s="14">
        <v>0.2</v>
      </c>
      <c r="G22" s="14">
        <v>20</v>
      </c>
      <c r="H22" s="14">
        <v>0</v>
      </c>
      <c r="I22" s="14">
        <v>0</v>
      </c>
      <c r="J22" s="14">
        <v>0</v>
      </c>
      <c r="K22" s="15" t="s">
        <v>49</v>
      </c>
      <c r="L22" s="15" t="s">
        <v>65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>
      <c r="A23" s="13" t="s">
        <v>69</v>
      </c>
      <c r="B23" s="14">
        <v>5</v>
      </c>
      <c r="C23" s="14">
        <v>25</v>
      </c>
      <c r="D23" s="14">
        <v>0.25</v>
      </c>
      <c r="E23" s="14">
        <v>300</v>
      </c>
      <c r="F23" s="14">
        <v>0.2</v>
      </c>
      <c r="G23" s="14">
        <v>20</v>
      </c>
      <c r="H23" s="14">
        <v>0</v>
      </c>
      <c r="I23" s="14">
        <v>0</v>
      </c>
      <c r="J23" s="14">
        <v>0</v>
      </c>
      <c r="K23" s="15" t="s">
        <v>49</v>
      </c>
      <c r="L23" s="15" t="s">
        <v>65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>
      <c r="A24" s="13" t="s">
        <v>70</v>
      </c>
      <c r="B24" s="14">
        <v>5</v>
      </c>
      <c r="C24" s="14">
        <v>50</v>
      </c>
      <c r="D24" s="14">
        <v>0.25</v>
      </c>
      <c r="E24" s="14">
        <v>300</v>
      </c>
      <c r="F24" s="14">
        <v>0.2</v>
      </c>
      <c r="G24" s="14">
        <v>20</v>
      </c>
      <c r="H24" s="14">
        <v>0</v>
      </c>
      <c r="I24" s="14">
        <v>0</v>
      </c>
      <c r="J24" s="14">
        <v>0</v>
      </c>
      <c r="K24" s="15" t="s">
        <v>49</v>
      </c>
      <c r="L24" s="15" t="s">
        <v>65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>
      <c r="A25" s="13" t="s">
        <v>71</v>
      </c>
      <c r="B25" s="14">
        <v>5</v>
      </c>
      <c r="C25" s="14">
        <v>50</v>
      </c>
      <c r="D25" s="14">
        <v>0.25</v>
      </c>
      <c r="E25" s="14">
        <v>400</v>
      </c>
      <c r="F25" s="14">
        <v>0.2</v>
      </c>
      <c r="G25" s="14">
        <v>20</v>
      </c>
      <c r="H25" s="14">
        <v>10</v>
      </c>
      <c r="I25" s="14">
        <v>0</v>
      </c>
      <c r="J25" s="14">
        <v>0</v>
      </c>
      <c r="K25" s="15" t="s">
        <v>49</v>
      </c>
      <c r="L25" s="15" t="s">
        <v>65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>
      <c r="A26" s="13" t="s">
        <v>72</v>
      </c>
      <c r="B26" s="14">
        <v>5</v>
      </c>
      <c r="C26" s="14">
        <v>50</v>
      </c>
      <c r="D26" s="14">
        <v>0.25</v>
      </c>
      <c r="E26" s="14">
        <v>400</v>
      </c>
      <c r="F26" s="14">
        <v>0.2</v>
      </c>
      <c r="G26" s="14">
        <v>20</v>
      </c>
      <c r="H26" s="14">
        <v>15</v>
      </c>
      <c r="I26" s="14">
        <v>0</v>
      </c>
      <c r="J26" s="14">
        <v>0</v>
      </c>
      <c r="K26" s="15" t="s">
        <v>49</v>
      </c>
      <c r="L26" s="15" t="s">
        <v>65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>
      <c r="A27" s="13" t="s">
        <v>73</v>
      </c>
      <c r="B27" s="14">
        <v>5</v>
      </c>
      <c r="C27" s="14">
        <v>50</v>
      </c>
      <c r="D27" s="14">
        <v>0.25</v>
      </c>
      <c r="E27" s="14">
        <v>400</v>
      </c>
      <c r="F27" s="14">
        <v>0.2</v>
      </c>
      <c r="G27" s="14">
        <v>20</v>
      </c>
      <c r="H27" s="14">
        <v>0</v>
      </c>
      <c r="I27" s="14">
        <v>1</v>
      </c>
      <c r="J27" s="14">
        <v>0</v>
      </c>
      <c r="K27" s="15" t="s">
        <v>49</v>
      </c>
      <c r="L27" s="15" t="s">
        <v>65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>
      <c r="A28" s="13" t="s">
        <v>74</v>
      </c>
      <c r="B28" s="14">
        <v>5</v>
      </c>
      <c r="C28" s="14">
        <v>50</v>
      </c>
      <c r="D28" s="14">
        <v>0.25</v>
      </c>
      <c r="E28" s="14">
        <v>400</v>
      </c>
      <c r="F28" s="14">
        <v>0.2</v>
      </c>
      <c r="G28" s="14">
        <v>20</v>
      </c>
      <c r="H28" s="14">
        <v>0</v>
      </c>
      <c r="I28" s="14">
        <v>2</v>
      </c>
      <c r="J28" s="14">
        <v>0</v>
      </c>
      <c r="K28" s="15" t="s">
        <v>49</v>
      </c>
      <c r="L28" s="15" t="s">
        <v>65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>
      <c r="A29" s="13" t="s">
        <v>75</v>
      </c>
      <c r="B29" s="14">
        <v>5</v>
      </c>
      <c r="C29" s="14">
        <v>50</v>
      </c>
      <c r="D29" s="14">
        <v>0.25</v>
      </c>
      <c r="E29" s="14">
        <v>400</v>
      </c>
      <c r="F29" s="14">
        <v>0.2</v>
      </c>
      <c r="G29" s="14">
        <v>20</v>
      </c>
      <c r="H29" s="14">
        <v>10</v>
      </c>
      <c r="I29" s="14">
        <v>1</v>
      </c>
      <c r="J29" s="14">
        <v>0</v>
      </c>
      <c r="K29" s="15" t="s">
        <v>49</v>
      </c>
      <c r="L29" s="15" t="s">
        <v>65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>
      <c r="A30" s="13" t="s">
        <v>76</v>
      </c>
      <c r="B30" s="14">
        <v>5</v>
      </c>
      <c r="C30" s="14">
        <v>50</v>
      </c>
      <c r="D30" s="14">
        <v>0.25</v>
      </c>
      <c r="E30" s="14">
        <v>400</v>
      </c>
      <c r="F30" s="14">
        <v>0.2</v>
      </c>
      <c r="G30" s="14">
        <v>20</v>
      </c>
      <c r="H30" s="14">
        <v>15</v>
      </c>
      <c r="I30" s="14">
        <v>2</v>
      </c>
      <c r="J30" s="14">
        <v>0</v>
      </c>
      <c r="K30" s="15" t="s">
        <v>49</v>
      </c>
      <c r="L30" s="15" t="s">
        <v>65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>
      <c r="A31" s="13" t="s">
        <v>77</v>
      </c>
      <c r="B31" s="14">
        <v>5</v>
      </c>
      <c r="C31" s="14">
        <v>50</v>
      </c>
      <c r="D31" s="14">
        <v>0.25</v>
      </c>
      <c r="E31" s="14">
        <v>400</v>
      </c>
      <c r="F31" s="14">
        <v>0.2</v>
      </c>
      <c r="G31" s="14">
        <v>0</v>
      </c>
      <c r="H31" s="14">
        <v>10</v>
      </c>
      <c r="I31" s="14">
        <v>1</v>
      </c>
      <c r="J31" s="14">
        <v>0</v>
      </c>
      <c r="K31" s="15" t="s">
        <v>49</v>
      </c>
      <c r="L31" s="15" t="s">
        <v>65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>
      <c r="A32" s="13" t="s">
        <v>78</v>
      </c>
      <c r="B32" s="14">
        <v>5</v>
      </c>
      <c r="C32" s="14">
        <v>50</v>
      </c>
      <c r="D32" s="14">
        <v>0.25</v>
      </c>
      <c r="E32" s="14">
        <v>400</v>
      </c>
      <c r="F32" s="14">
        <v>0.2</v>
      </c>
      <c r="G32" s="14">
        <v>20</v>
      </c>
      <c r="H32" s="14">
        <v>1</v>
      </c>
      <c r="I32" s="14">
        <v>0</v>
      </c>
      <c r="J32" s="14">
        <v>0</v>
      </c>
      <c r="K32" s="15" t="s">
        <v>49</v>
      </c>
      <c r="L32" s="15" t="s">
        <v>65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>
      <c r="A33" s="13" t="s">
        <v>79</v>
      </c>
      <c r="B33" s="14">
        <v>5</v>
      </c>
      <c r="C33" s="14">
        <v>50</v>
      </c>
      <c r="D33" s="14">
        <v>0.25</v>
      </c>
      <c r="E33" s="14">
        <v>400</v>
      </c>
      <c r="F33" s="14">
        <v>0.2</v>
      </c>
      <c r="G33" s="14">
        <v>0</v>
      </c>
      <c r="H33" s="14">
        <v>1</v>
      </c>
      <c r="I33" s="14">
        <v>1</v>
      </c>
      <c r="J33" s="14">
        <v>0</v>
      </c>
      <c r="K33" s="15" t="s">
        <v>49</v>
      </c>
      <c r="L33" s="15" t="s">
        <v>65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>
      <c r="A34" s="13" t="s">
        <v>80</v>
      </c>
      <c r="B34" s="14">
        <v>5</v>
      </c>
      <c r="C34" s="14">
        <v>50</v>
      </c>
      <c r="D34" s="14">
        <v>0.25</v>
      </c>
      <c r="E34" s="14">
        <v>400</v>
      </c>
      <c r="F34" s="14">
        <v>0.2</v>
      </c>
      <c r="G34" s="14">
        <v>0</v>
      </c>
      <c r="H34" s="14">
        <v>1</v>
      </c>
      <c r="I34" s="14">
        <v>1</v>
      </c>
      <c r="J34" s="14">
        <v>1</v>
      </c>
      <c r="K34" s="15" t="s">
        <v>49</v>
      </c>
      <c r="L34" s="15" t="s">
        <v>65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>
      <c r="A35" s="13" t="s">
        <v>81</v>
      </c>
      <c r="B35" s="14">
        <v>5</v>
      </c>
      <c r="C35" s="14">
        <v>17</v>
      </c>
      <c r="D35" s="14">
        <v>0.25</v>
      </c>
      <c r="E35" s="14">
        <v>400</v>
      </c>
      <c r="F35" s="14">
        <v>0.2</v>
      </c>
      <c r="G35" s="14">
        <v>0</v>
      </c>
      <c r="H35" s="14">
        <v>1</v>
      </c>
      <c r="I35" s="14">
        <v>1</v>
      </c>
      <c r="J35" s="14">
        <v>1</v>
      </c>
      <c r="K35" s="15" t="s">
        <v>49</v>
      </c>
      <c r="L35" s="15" t="s">
        <v>65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5"/>
      <c r="L36" s="15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>
      <c r="A37" s="13"/>
      <c r="B37" s="14"/>
      <c r="C37" s="14"/>
      <c r="D37" s="14"/>
      <c r="E37" s="14"/>
      <c r="F37" s="14"/>
      <c r="G37" s="14"/>
      <c r="H37" s="14"/>
      <c r="I37" s="14"/>
      <c r="J37" s="14"/>
      <c r="K37" s="15"/>
      <c r="L37" s="15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>
      <c r="A38" s="13"/>
      <c r="B38" s="14"/>
      <c r="C38" s="14"/>
      <c r="D38" s="14"/>
      <c r="E38" s="14"/>
      <c r="F38" s="14"/>
      <c r="G38" s="14"/>
      <c r="H38" s="14"/>
      <c r="I38" s="14"/>
      <c r="J38" s="14"/>
      <c r="K38" s="15"/>
      <c r="L38" s="15"/>
      <c r="M38" s="2"/>
      <c r="N38" s="2"/>
      <c r="O38" s="2" t="s">
        <v>82</v>
      </c>
      <c r="P38" s="2"/>
      <c r="Q38" s="2"/>
      <c r="R38" s="2"/>
      <c r="S38" s="2"/>
      <c r="T38" s="2"/>
      <c r="U38" s="2"/>
      <c r="V38" s="2"/>
      <c r="W38" s="2"/>
      <c r="X38" s="2"/>
    </row>
    <row r="39" spans="1:24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5"/>
      <c r="L39" s="15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5"/>
      <c r="L40" s="15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5"/>
      <c r="L41" s="15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5"/>
      <c r="L42" s="15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5"/>
      <c r="L43" s="15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5"/>
      <c r="L44" s="15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5"/>
      <c r="L45" s="15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5"/>
      <c r="L46" s="15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5"/>
      <c r="L47" s="15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5"/>
      <c r="L48" s="15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5"/>
      <c r="L49" s="15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5"/>
      <c r="L50" s="15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>
      <c r="A51" s="13"/>
      <c r="B51" s="14"/>
      <c r="C51" s="14"/>
      <c r="D51" s="14"/>
      <c r="E51" s="14"/>
      <c r="F51" s="14"/>
      <c r="G51" s="14"/>
      <c r="H51" s="14"/>
      <c r="I51" s="14"/>
      <c r="J51" s="14"/>
      <c r="K51" s="15"/>
      <c r="L51" s="15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5"/>
      <c r="L52" s="15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>
      <c r="A53" s="13"/>
      <c r="B53" s="14"/>
      <c r="C53" s="14"/>
      <c r="D53" s="14"/>
      <c r="E53" s="14"/>
      <c r="F53" s="14"/>
      <c r="G53" s="14"/>
      <c r="H53" s="14"/>
      <c r="I53" s="14"/>
      <c r="J53" s="14"/>
      <c r="K53" s="15"/>
      <c r="L53" s="15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>
      <c r="A54" s="13"/>
      <c r="B54" s="14"/>
      <c r="C54" s="14"/>
      <c r="D54" s="14"/>
      <c r="E54" s="14"/>
      <c r="F54" s="14"/>
      <c r="G54" s="14"/>
      <c r="H54" s="14"/>
      <c r="I54" s="14"/>
      <c r="J54" s="14"/>
      <c r="K54" s="15"/>
      <c r="L54" s="15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>
      <c r="A55" s="13"/>
      <c r="B55" s="14"/>
      <c r="C55" s="14"/>
      <c r="D55" s="14"/>
      <c r="E55" s="14"/>
      <c r="F55" s="14"/>
      <c r="G55" s="14"/>
      <c r="H55" s="14"/>
      <c r="I55" s="14"/>
      <c r="J55" s="14"/>
      <c r="K55" s="15"/>
      <c r="L55" s="15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>
      <c r="A56" s="13"/>
      <c r="B56" s="14"/>
      <c r="C56" s="14"/>
      <c r="D56" s="14"/>
      <c r="E56" s="14"/>
      <c r="F56" s="14"/>
      <c r="G56" s="14"/>
      <c r="H56" s="14"/>
      <c r="I56" s="14"/>
      <c r="J56" s="14"/>
      <c r="K56" s="15"/>
      <c r="L56" s="15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>
      <c r="A57" s="13"/>
      <c r="B57" s="14"/>
      <c r="C57" s="14"/>
      <c r="D57" s="14"/>
      <c r="E57" s="14"/>
      <c r="F57" s="14"/>
      <c r="G57" s="14"/>
      <c r="H57" s="14"/>
      <c r="I57" s="14"/>
      <c r="J57" s="14"/>
      <c r="K57" s="15"/>
      <c r="L57" s="15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>
      <c r="A58" s="13"/>
      <c r="B58" s="14"/>
      <c r="C58" s="14"/>
      <c r="D58" s="14"/>
      <c r="E58" s="14"/>
      <c r="F58" s="14"/>
      <c r="G58" s="14"/>
      <c r="H58" s="14"/>
      <c r="I58" s="14"/>
      <c r="J58" s="14"/>
      <c r="K58" s="15"/>
      <c r="L58" s="15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>
      <c r="A59" s="13"/>
      <c r="B59" s="14"/>
      <c r="C59" s="14"/>
      <c r="D59" s="14"/>
      <c r="E59" s="14"/>
      <c r="F59" s="14"/>
      <c r="G59" s="14"/>
      <c r="H59" s="14"/>
      <c r="I59" s="14"/>
      <c r="J59" s="14"/>
      <c r="K59" s="15"/>
      <c r="L59" s="15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>
      <c r="A60" s="13"/>
      <c r="B60" s="14"/>
      <c r="C60" s="14"/>
      <c r="D60" s="14"/>
      <c r="E60" s="14"/>
      <c r="F60" s="14"/>
      <c r="G60" s="14"/>
      <c r="H60" s="14"/>
      <c r="I60" s="14"/>
      <c r="J60" s="14"/>
      <c r="K60" s="15"/>
      <c r="L60" s="15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>
      <c r="A61" s="13"/>
      <c r="B61" s="14"/>
      <c r="C61" s="14"/>
      <c r="D61" s="14"/>
      <c r="E61" s="14"/>
      <c r="F61" s="14"/>
      <c r="G61" s="14"/>
      <c r="H61" s="14"/>
      <c r="I61" s="14"/>
      <c r="J61" s="14"/>
      <c r="K61" s="15"/>
      <c r="L61" s="15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>
      <c r="A62" s="13"/>
      <c r="B62" s="14"/>
      <c r="C62" s="14"/>
      <c r="D62" s="14"/>
      <c r="E62" s="14"/>
      <c r="F62" s="14"/>
      <c r="G62" s="14"/>
      <c r="H62" s="14"/>
      <c r="I62" s="14"/>
      <c r="J62" s="14"/>
      <c r="K62" s="15"/>
      <c r="L62" s="15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>
      <c r="A63" s="13"/>
      <c r="B63" s="14"/>
      <c r="C63" s="14"/>
      <c r="D63" s="14"/>
      <c r="E63" s="14"/>
      <c r="F63" s="14"/>
      <c r="G63" s="14"/>
      <c r="H63" s="14"/>
      <c r="I63" s="14"/>
      <c r="J63" s="14"/>
      <c r="K63" s="15"/>
      <c r="L63" s="15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>
      <c r="A64" s="13"/>
      <c r="B64" s="14"/>
      <c r="C64" s="14"/>
      <c r="D64" s="14"/>
      <c r="E64" s="14"/>
      <c r="F64" s="14"/>
      <c r="G64" s="14"/>
      <c r="H64" s="14"/>
      <c r="I64" s="14"/>
      <c r="J64" s="14"/>
      <c r="K64" s="15"/>
      <c r="L64" s="15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>
      <c r="A65" s="13"/>
      <c r="B65" s="14"/>
      <c r="C65" s="14"/>
      <c r="D65" s="14"/>
      <c r="E65" s="14"/>
      <c r="F65" s="14"/>
      <c r="G65" s="14"/>
      <c r="H65" s="14"/>
      <c r="I65" s="14"/>
      <c r="J65" s="14"/>
      <c r="K65" s="15"/>
      <c r="L65" s="15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>
      <c r="A66" s="13"/>
      <c r="B66" s="14"/>
      <c r="C66" s="14"/>
      <c r="D66" s="14"/>
      <c r="E66" s="14"/>
      <c r="F66" s="14"/>
      <c r="G66" s="14"/>
      <c r="H66" s="14"/>
      <c r="I66" s="14"/>
      <c r="J66" s="14"/>
      <c r="K66" s="15"/>
      <c r="L66" s="15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>
      <c r="A67" s="13"/>
      <c r="B67" s="14"/>
      <c r="C67" s="14"/>
      <c r="D67" s="14"/>
      <c r="E67" s="14"/>
      <c r="F67" s="14"/>
      <c r="G67" s="14"/>
      <c r="H67" s="14"/>
      <c r="I67" s="14"/>
      <c r="J67" s="14"/>
      <c r="K67" s="15"/>
      <c r="L67" s="15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>
      <c r="A68" s="13"/>
      <c r="B68" s="14"/>
      <c r="C68" s="14"/>
      <c r="D68" s="14"/>
      <c r="E68" s="14"/>
      <c r="F68" s="14"/>
      <c r="G68" s="14"/>
      <c r="H68" s="14"/>
      <c r="I68" s="14"/>
      <c r="J68" s="14"/>
      <c r="K68" s="15"/>
      <c r="L68" s="15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>
      <c r="A69" s="13"/>
      <c r="B69" s="14"/>
      <c r="C69" s="14"/>
      <c r="D69" s="14"/>
      <c r="E69" s="14"/>
      <c r="F69" s="14"/>
      <c r="G69" s="14"/>
      <c r="H69" s="14"/>
      <c r="I69" s="14"/>
      <c r="J69" s="14"/>
      <c r="K69" s="15"/>
      <c r="L69" s="15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>
      <c r="A70" s="13"/>
      <c r="B70" s="14"/>
      <c r="C70" s="14"/>
      <c r="D70" s="14"/>
      <c r="E70" s="14"/>
      <c r="F70" s="14"/>
      <c r="G70" s="14"/>
      <c r="H70" s="14"/>
      <c r="I70" s="14"/>
      <c r="J70" s="14"/>
      <c r="K70" s="15"/>
      <c r="L70" s="15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>
      <c r="A71" s="13"/>
      <c r="B71" s="14"/>
      <c r="C71" s="14"/>
      <c r="D71" s="14"/>
      <c r="E71" s="14"/>
      <c r="F71" s="14"/>
      <c r="G71" s="14"/>
      <c r="H71" s="14"/>
      <c r="I71" s="14"/>
      <c r="J71" s="14"/>
      <c r="K71" s="15"/>
      <c r="L71" s="15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>
      <c r="A72" s="13"/>
      <c r="B72" s="14"/>
      <c r="C72" s="14"/>
      <c r="D72" s="14"/>
      <c r="E72" s="14"/>
      <c r="F72" s="14"/>
      <c r="G72" s="14"/>
      <c r="H72" s="14"/>
      <c r="I72" s="14"/>
      <c r="J72" s="14"/>
      <c r="K72" s="15"/>
      <c r="L72" s="15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>
      <c r="A73" s="13"/>
      <c r="B73" s="14"/>
      <c r="C73" s="14"/>
      <c r="D73" s="14"/>
      <c r="E73" s="14"/>
      <c r="F73" s="14"/>
      <c r="G73" s="14"/>
      <c r="H73" s="14"/>
      <c r="I73" s="14"/>
      <c r="J73" s="14"/>
      <c r="K73" s="15"/>
      <c r="L73" s="15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>
      <c r="A74" s="13"/>
      <c r="B74" s="14"/>
      <c r="C74" s="14"/>
      <c r="D74" s="14"/>
      <c r="E74" s="14"/>
      <c r="F74" s="14"/>
      <c r="G74" s="14"/>
      <c r="H74" s="14"/>
      <c r="I74" s="14"/>
      <c r="J74" s="14"/>
      <c r="K74" s="15"/>
      <c r="L74" s="15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>
      <c r="A75" s="13"/>
      <c r="B75" s="14"/>
      <c r="C75" s="14"/>
      <c r="D75" s="14"/>
      <c r="E75" s="14"/>
      <c r="F75" s="14"/>
      <c r="G75" s="14"/>
      <c r="H75" s="14"/>
      <c r="I75" s="14"/>
      <c r="J75" s="14"/>
      <c r="K75" s="15"/>
      <c r="L75" s="15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>
      <c r="A76" s="13"/>
      <c r="B76" s="14"/>
      <c r="C76" s="14"/>
      <c r="D76" s="14"/>
      <c r="E76" s="14"/>
      <c r="F76" s="14"/>
      <c r="G76" s="14"/>
      <c r="H76" s="14"/>
      <c r="I76" s="14"/>
      <c r="J76" s="14"/>
      <c r="K76" s="15"/>
      <c r="L76" s="15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>
      <c r="A77" s="13"/>
      <c r="B77" s="14"/>
      <c r="C77" s="14"/>
      <c r="D77" s="14"/>
      <c r="E77" s="14"/>
      <c r="F77" s="14"/>
      <c r="G77" s="14"/>
      <c r="H77" s="14"/>
      <c r="I77" s="14"/>
      <c r="J77" s="14"/>
      <c r="K77" s="15"/>
      <c r="L77" s="15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>
      <c r="A78" s="13"/>
      <c r="B78" s="14"/>
      <c r="C78" s="14"/>
      <c r="D78" s="14"/>
      <c r="E78" s="14"/>
      <c r="F78" s="14"/>
      <c r="G78" s="14"/>
      <c r="H78" s="14"/>
      <c r="I78" s="14"/>
      <c r="J78" s="14"/>
      <c r="K78" s="15"/>
      <c r="L78" s="15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>
      <c r="A79" s="13"/>
      <c r="B79" s="14"/>
      <c r="C79" s="14"/>
      <c r="D79" s="14"/>
      <c r="E79" s="14"/>
      <c r="F79" s="14"/>
      <c r="G79" s="14"/>
      <c r="H79" s="14"/>
      <c r="I79" s="14"/>
      <c r="J79" s="14"/>
      <c r="K79" s="15"/>
      <c r="L79" s="15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>
      <c r="A80" s="13"/>
      <c r="B80" s="14"/>
      <c r="C80" s="14"/>
      <c r="D80" s="14"/>
      <c r="E80" s="14"/>
      <c r="F80" s="14"/>
      <c r="G80" s="14"/>
      <c r="H80" s="14"/>
      <c r="I80" s="14"/>
      <c r="J80" s="14"/>
      <c r="K80" s="15"/>
      <c r="L80" s="15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>
      <c r="A81" s="13"/>
      <c r="B81" s="14"/>
      <c r="C81" s="14"/>
      <c r="D81" s="14"/>
      <c r="E81" s="14"/>
      <c r="F81" s="14"/>
      <c r="G81" s="14"/>
      <c r="H81" s="14"/>
      <c r="I81" s="14"/>
      <c r="J81" s="14"/>
      <c r="K81" s="15"/>
      <c r="L81" s="15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>
      <c r="A82" s="13"/>
      <c r="B82" s="14"/>
      <c r="C82" s="14"/>
      <c r="D82" s="14"/>
      <c r="E82" s="14"/>
      <c r="F82" s="14"/>
      <c r="G82" s="14"/>
      <c r="H82" s="14"/>
      <c r="I82" s="14"/>
      <c r="J82" s="14"/>
      <c r="K82" s="15"/>
      <c r="L82" s="15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>
      <c r="A83" s="13"/>
      <c r="B83" s="14"/>
      <c r="C83" s="14"/>
      <c r="D83" s="14"/>
      <c r="E83" s="14"/>
      <c r="F83" s="14"/>
      <c r="G83" s="14"/>
      <c r="H83" s="14"/>
      <c r="I83" s="14"/>
      <c r="J83" s="14"/>
      <c r="K83" s="15"/>
      <c r="L83" s="15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>
      <c r="A84" s="13"/>
      <c r="B84" s="14"/>
      <c r="C84" s="14"/>
      <c r="D84" s="14"/>
      <c r="E84" s="14"/>
      <c r="F84" s="14"/>
      <c r="G84" s="14"/>
      <c r="H84" s="14"/>
      <c r="I84" s="14"/>
      <c r="J84" s="14"/>
      <c r="K84" s="15"/>
      <c r="L84" s="15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>
      <c r="A85" s="13"/>
      <c r="B85" s="14"/>
      <c r="C85" s="14"/>
      <c r="D85" s="14"/>
      <c r="E85" s="14"/>
      <c r="F85" s="14"/>
      <c r="G85" s="14"/>
      <c r="H85" s="14"/>
      <c r="I85" s="14"/>
      <c r="J85" s="14"/>
      <c r="K85" s="15"/>
      <c r="L85" s="15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>
      <c r="A86" s="13"/>
      <c r="B86" s="14"/>
      <c r="C86" s="14"/>
      <c r="D86" s="14"/>
      <c r="E86" s="14"/>
      <c r="F86" s="14"/>
      <c r="G86" s="14"/>
      <c r="H86" s="14"/>
      <c r="I86" s="14"/>
      <c r="J86" s="14"/>
      <c r="K86" s="15"/>
      <c r="L86" s="15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>
      <c r="A87" s="13"/>
      <c r="B87" s="14"/>
      <c r="C87" s="14"/>
      <c r="D87" s="14"/>
      <c r="E87" s="14"/>
      <c r="F87" s="14"/>
      <c r="G87" s="14"/>
      <c r="H87" s="14"/>
      <c r="I87" s="14"/>
      <c r="J87" s="14"/>
      <c r="K87" s="15"/>
      <c r="L87" s="15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>
      <c r="A88" s="13"/>
      <c r="B88" s="14"/>
      <c r="C88" s="14"/>
      <c r="D88" s="14"/>
      <c r="E88" s="14"/>
      <c r="F88" s="14"/>
      <c r="G88" s="14"/>
      <c r="H88" s="14"/>
      <c r="I88" s="14"/>
      <c r="J88" s="14"/>
      <c r="K88" s="15"/>
      <c r="L88" s="15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>
      <c r="A89" s="13"/>
      <c r="B89" s="14"/>
      <c r="C89" s="14"/>
      <c r="D89" s="14"/>
      <c r="E89" s="14"/>
      <c r="F89" s="14"/>
      <c r="G89" s="14"/>
      <c r="H89" s="14"/>
      <c r="I89" s="14"/>
      <c r="J89" s="14"/>
      <c r="K89" s="15"/>
      <c r="L89" s="15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>
      <c r="A90" s="13"/>
      <c r="B90" s="14"/>
      <c r="C90" s="14"/>
      <c r="D90" s="14"/>
      <c r="E90" s="14"/>
      <c r="F90" s="14"/>
      <c r="G90" s="14"/>
      <c r="H90" s="14"/>
      <c r="I90" s="14"/>
      <c r="J90" s="14"/>
      <c r="K90" s="15"/>
      <c r="L90" s="15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>
      <c r="A91" s="13"/>
      <c r="B91" s="14"/>
      <c r="C91" s="14"/>
      <c r="D91" s="14"/>
      <c r="E91" s="14"/>
      <c r="F91" s="14"/>
      <c r="G91" s="14"/>
      <c r="H91" s="14"/>
      <c r="I91" s="14"/>
      <c r="J91" s="14"/>
      <c r="K91" s="15"/>
      <c r="L91" s="15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>
      <c r="A92" s="13"/>
      <c r="B92" s="14"/>
      <c r="C92" s="14"/>
      <c r="D92" s="14"/>
      <c r="E92" s="14"/>
      <c r="F92" s="14"/>
      <c r="G92" s="14"/>
      <c r="H92" s="14"/>
      <c r="I92" s="14"/>
      <c r="J92" s="14"/>
      <c r="K92" s="15"/>
      <c r="L92" s="15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>
      <c r="A93" s="13"/>
      <c r="B93" s="14"/>
      <c r="C93" s="14"/>
      <c r="D93" s="14"/>
      <c r="E93" s="14"/>
      <c r="F93" s="14"/>
      <c r="G93" s="14"/>
      <c r="H93" s="14"/>
      <c r="I93" s="14"/>
      <c r="J93" s="14"/>
      <c r="K93" s="15"/>
      <c r="L93" s="15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>
      <c r="A94" s="13"/>
      <c r="B94" s="14"/>
      <c r="C94" s="14"/>
      <c r="D94" s="14"/>
      <c r="E94" s="14"/>
      <c r="F94" s="14"/>
      <c r="G94" s="14"/>
      <c r="H94" s="14"/>
      <c r="I94" s="14"/>
      <c r="J94" s="14"/>
      <c r="K94" s="15"/>
      <c r="L94" s="15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>
      <c r="A95" s="13"/>
      <c r="B95" s="14"/>
      <c r="C95" s="14"/>
      <c r="D95" s="14"/>
      <c r="E95" s="14"/>
      <c r="F95" s="14"/>
      <c r="G95" s="14"/>
      <c r="H95" s="14"/>
      <c r="I95" s="14"/>
      <c r="J95" s="14"/>
      <c r="K95" s="15"/>
      <c r="L95" s="15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>
      <c r="A96" s="13"/>
      <c r="B96" s="14"/>
      <c r="C96" s="14"/>
      <c r="D96" s="14"/>
      <c r="E96" s="14"/>
      <c r="F96" s="14"/>
      <c r="G96" s="14"/>
      <c r="H96" s="14"/>
      <c r="I96" s="14"/>
      <c r="J96" s="14"/>
      <c r="K96" s="15"/>
      <c r="L96" s="15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>
      <c r="A97" s="13"/>
      <c r="B97" s="14"/>
      <c r="C97" s="14"/>
      <c r="D97" s="14"/>
      <c r="E97" s="14"/>
      <c r="F97" s="14"/>
      <c r="G97" s="14"/>
      <c r="H97" s="14"/>
      <c r="I97" s="14"/>
      <c r="J97" s="14"/>
      <c r="K97" s="15"/>
      <c r="L97" s="15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>
      <c r="A98" s="13"/>
      <c r="B98" s="14"/>
      <c r="C98" s="14"/>
      <c r="D98" s="14"/>
      <c r="E98" s="14"/>
      <c r="F98" s="14"/>
      <c r="G98" s="14"/>
      <c r="H98" s="14"/>
      <c r="I98" s="14"/>
      <c r="J98" s="14"/>
      <c r="K98" s="15"/>
      <c r="L98" s="15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>
      <c r="A99" s="13"/>
      <c r="B99" s="14"/>
      <c r="C99" s="14"/>
      <c r="D99" s="14"/>
      <c r="E99" s="14"/>
      <c r="F99" s="14"/>
      <c r="G99" s="14"/>
      <c r="H99" s="14"/>
      <c r="I99" s="14"/>
      <c r="J99" s="14"/>
      <c r="K99" s="15"/>
      <c r="L99" s="15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>
      <c r="A100" s="13"/>
      <c r="B100" s="14"/>
      <c r="C100" s="14"/>
      <c r="D100" s="14"/>
      <c r="E100" s="14"/>
      <c r="F100" s="14"/>
      <c r="G100" s="14"/>
      <c r="H100" s="14"/>
      <c r="I100" s="14"/>
      <c r="J100" s="14"/>
      <c r="K100" s="15"/>
      <c r="L100" s="15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</sheetData>
  <mergeCells count="2">
    <mergeCell ref="A1:L1"/>
    <mergeCell ref="A2:L2"/>
  </mergeCell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20"/>
  <sheetViews>
    <sheetView tabSelected="1" workbookViewId="0">
      <selection activeCell="G4" sqref="G4"/>
    </sheetView>
  </sheetViews>
  <sheetFormatPr defaultColWidth="9" defaultRowHeight="14"/>
  <cols>
    <col min="1" max="1" width="18" customWidth="1"/>
    <col min="2" max="2" width="14" customWidth="1"/>
    <col min="3" max="3" width="42.6166666666667" customWidth="1"/>
    <col min="4" max="4" width="12" customWidth="1"/>
    <col min="5" max="5" width="18" customWidth="1"/>
    <col min="6" max="6" width="14" customWidth="1"/>
    <col min="7" max="7" width="23.5833333333333" customWidth="1"/>
    <col min="8" max="8" width="12" customWidth="1"/>
    <col min="9" max="9" width="14" customWidth="1"/>
    <col min="10" max="10" width="10" customWidth="1"/>
    <col min="11" max="12" width="14" customWidth="1"/>
  </cols>
  <sheetData>
    <row r="1" ht="30" customHeight="1" spans="1:25">
      <c r="A1" s="1" t="s">
        <v>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34" customHeight="1" spans="1:25">
      <c r="A2" s="3" t="s">
        <v>84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36" customHeight="1" spans="1:25">
      <c r="A4" s="4" t="s">
        <v>85</v>
      </c>
      <c r="B4" s="4" t="s">
        <v>36</v>
      </c>
      <c r="C4" s="4" t="s">
        <v>86</v>
      </c>
      <c r="D4" s="4" t="s">
        <v>87</v>
      </c>
      <c r="E4" s="4" t="s">
        <v>88</v>
      </c>
      <c r="F4" s="4" t="s">
        <v>89</v>
      </c>
      <c r="G4" s="9" t="s">
        <v>90</v>
      </c>
      <c r="H4" s="4" t="s">
        <v>91</v>
      </c>
      <c r="I4" s="4" t="s">
        <v>92</v>
      </c>
      <c r="J4" s="4" t="s">
        <v>93</v>
      </c>
      <c r="K4" s="4" t="s">
        <v>94</v>
      </c>
      <c r="L4" s="4" t="s">
        <v>95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14.5" spans="1:25">
      <c r="A5" s="10" t="s">
        <v>96</v>
      </c>
      <c r="B5" s="10" t="s">
        <v>48</v>
      </c>
      <c r="C5" s="10" t="s">
        <v>97</v>
      </c>
      <c r="D5" s="10">
        <v>10000</v>
      </c>
      <c r="E5" s="10">
        <v>10000</v>
      </c>
      <c r="F5" s="10">
        <v>740</v>
      </c>
      <c r="G5" s="10">
        <v>13.514</v>
      </c>
      <c r="H5" s="10">
        <v>10</v>
      </c>
      <c r="I5" s="10">
        <v>10.7785</v>
      </c>
      <c r="J5" s="10">
        <v>1</v>
      </c>
      <c r="K5" s="10" t="s">
        <v>98</v>
      </c>
      <c r="L5" s="10" t="s">
        <v>99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14.5" spans="1:25">
      <c r="A6" s="10" t="s">
        <v>100</v>
      </c>
      <c r="B6" s="10" t="s">
        <v>48</v>
      </c>
      <c r="C6" s="10" t="s">
        <v>101</v>
      </c>
      <c r="D6" s="10">
        <v>30000</v>
      </c>
      <c r="E6" s="10">
        <v>3000</v>
      </c>
      <c r="F6" s="10">
        <v>666</v>
      </c>
      <c r="G6" s="10">
        <v>4.505</v>
      </c>
      <c r="H6" s="10">
        <v>10</v>
      </c>
      <c r="I6" s="10">
        <v>10.7785</v>
      </c>
      <c r="J6" s="10">
        <v>2</v>
      </c>
      <c r="K6" s="10" t="s">
        <v>98</v>
      </c>
      <c r="L6" s="10" t="s">
        <v>102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14.5" spans="1:25">
      <c r="A7" s="10" t="s">
        <v>103</v>
      </c>
      <c r="B7" s="10" t="s">
        <v>48</v>
      </c>
      <c r="C7" s="10" t="s">
        <v>104</v>
      </c>
      <c r="D7" s="10">
        <v>150000</v>
      </c>
      <c r="E7" s="10">
        <v>500</v>
      </c>
      <c r="F7" s="10">
        <v>556</v>
      </c>
      <c r="G7" s="10">
        <v>0.899</v>
      </c>
      <c r="H7" s="10">
        <v>10</v>
      </c>
      <c r="I7" s="10">
        <v>10.7785</v>
      </c>
      <c r="J7" s="10">
        <v>3</v>
      </c>
      <c r="K7" s="10" t="s">
        <v>98</v>
      </c>
      <c r="L7" s="10" t="s">
        <v>99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14.5" spans="1:25">
      <c r="A8" s="10" t="s">
        <v>105</v>
      </c>
      <c r="B8" s="10" t="s">
        <v>51</v>
      </c>
      <c r="C8" s="10" t="s">
        <v>106</v>
      </c>
      <c r="D8" s="10">
        <v>5000</v>
      </c>
      <c r="E8" s="10">
        <v>20000</v>
      </c>
      <c r="F8" s="10">
        <v>739</v>
      </c>
      <c r="G8" s="10">
        <v>27.064</v>
      </c>
      <c r="H8" s="10">
        <v>10</v>
      </c>
      <c r="I8" s="10">
        <v>10.7133</v>
      </c>
      <c r="J8" s="10">
        <v>1</v>
      </c>
      <c r="K8" s="10" t="s">
        <v>98</v>
      </c>
      <c r="L8" s="10" t="s">
        <v>99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14.5" spans="1:25">
      <c r="A9" s="10" t="s">
        <v>107</v>
      </c>
      <c r="B9" s="10" t="s">
        <v>51</v>
      </c>
      <c r="C9" s="10" t="s">
        <v>108</v>
      </c>
      <c r="D9" s="10">
        <v>10000</v>
      </c>
      <c r="E9" s="10">
        <v>10000</v>
      </c>
      <c r="F9" s="10">
        <v>739</v>
      </c>
      <c r="G9" s="10">
        <v>13.532</v>
      </c>
      <c r="H9" s="10">
        <v>10</v>
      </c>
      <c r="I9" s="10">
        <v>10.7133</v>
      </c>
      <c r="J9" s="10">
        <v>2</v>
      </c>
      <c r="K9" s="10" t="s">
        <v>98</v>
      </c>
      <c r="L9" s="10" t="s">
        <v>99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14.5" spans="1:25">
      <c r="A10" s="10" t="s">
        <v>109</v>
      </c>
      <c r="B10" s="10" t="s">
        <v>51</v>
      </c>
      <c r="C10" s="10" t="s">
        <v>110</v>
      </c>
      <c r="D10" s="10">
        <v>30000</v>
      </c>
      <c r="E10" s="10">
        <v>3000</v>
      </c>
      <c r="F10" s="10">
        <v>666</v>
      </c>
      <c r="G10" s="10">
        <v>4.505</v>
      </c>
      <c r="H10" s="10">
        <v>10</v>
      </c>
      <c r="I10" s="10">
        <v>10.7133</v>
      </c>
      <c r="J10" s="10">
        <v>3</v>
      </c>
      <c r="K10" s="10" t="s">
        <v>98</v>
      </c>
      <c r="L10" s="10" t="s">
        <v>102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14.5" spans="1:25">
      <c r="A11" s="10" t="s">
        <v>111</v>
      </c>
      <c r="B11" s="10" t="s">
        <v>52</v>
      </c>
      <c r="C11" s="10" t="s">
        <v>112</v>
      </c>
      <c r="D11" s="10">
        <v>10000</v>
      </c>
      <c r="E11" s="10">
        <v>10000</v>
      </c>
      <c r="F11" s="10">
        <v>739</v>
      </c>
      <c r="G11" s="10">
        <v>13.532</v>
      </c>
      <c r="H11" s="10">
        <v>10</v>
      </c>
      <c r="I11" s="10">
        <v>10.7308</v>
      </c>
      <c r="J11" s="10">
        <v>1</v>
      </c>
      <c r="K11" s="10" t="s">
        <v>98</v>
      </c>
      <c r="L11" s="10" t="s">
        <v>99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14.5" spans="1:25">
      <c r="A12" s="10" t="s">
        <v>113</v>
      </c>
      <c r="B12" s="10" t="s">
        <v>52</v>
      </c>
      <c r="C12" s="10" t="s">
        <v>114</v>
      </c>
      <c r="D12" s="10">
        <v>30000</v>
      </c>
      <c r="E12" s="10">
        <v>3000</v>
      </c>
      <c r="F12" s="10">
        <v>666</v>
      </c>
      <c r="G12" s="10">
        <v>4.505</v>
      </c>
      <c r="H12" s="10">
        <v>10</v>
      </c>
      <c r="I12" s="10">
        <v>10.7308</v>
      </c>
      <c r="J12" s="10">
        <v>2</v>
      </c>
      <c r="K12" s="10" t="s">
        <v>98</v>
      </c>
      <c r="L12" s="10" t="s">
        <v>102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14.5" spans="1:25">
      <c r="A13" s="10" t="s">
        <v>115</v>
      </c>
      <c r="B13" s="10" t="s">
        <v>52</v>
      </c>
      <c r="C13" s="10" t="s">
        <v>116</v>
      </c>
      <c r="D13" s="10">
        <v>150000</v>
      </c>
      <c r="E13" s="10">
        <v>500</v>
      </c>
      <c r="F13" s="10">
        <v>556</v>
      </c>
      <c r="G13" s="10">
        <v>0.899</v>
      </c>
      <c r="H13" s="10">
        <v>10</v>
      </c>
      <c r="I13" s="10">
        <v>10.7308</v>
      </c>
      <c r="J13" s="10">
        <v>3</v>
      </c>
      <c r="K13" s="10" t="s">
        <v>98</v>
      </c>
      <c r="L13" s="10" t="s">
        <v>99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14.5" spans="1:25">
      <c r="A14" s="10" t="s">
        <v>117</v>
      </c>
      <c r="B14" s="10" t="s">
        <v>53</v>
      </c>
      <c r="C14" s="10" t="s">
        <v>118</v>
      </c>
      <c r="D14" s="10">
        <v>5000</v>
      </c>
      <c r="E14" s="10">
        <v>20000</v>
      </c>
      <c r="F14" s="10">
        <v>739</v>
      </c>
      <c r="G14" s="10">
        <v>27.064</v>
      </c>
      <c r="H14" s="10">
        <v>10</v>
      </c>
      <c r="I14" s="10">
        <v>10.6943</v>
      </c>
      <c r="J14" s="10">
        <v>1</v>
      </c>
      <c r="K14" s="10" t="s">
        <v>98</v>
      </c>
      <c r="L14" s="10" t="s">
        <v>99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14.5" spans="1:25">
      <c r="A15" s="10" t="s">
        <v>119</v>
      </c>
      <c r="B15" s="10" t="s">
        <v>53</v>
      </c>
      <c r="C15" s="10" t="s">
        <v>120</v>
      </c>
      <c r="D15" s="10">
        <v>10000</v>
      </c>
      <c r="E15" s="10">
        <v>10000</v>
      </c>
      <c r="F15" s="10">
        <v>739</v>
      </c>
      <c r="G15" s="10">
        <v>13.532</v>
      </c>
      <c r="H15" s="10">
        <v>10</v>
      </c>
      <c r="I15" s="10">
        <v>10.6943</v>
      </c>
      <c r="J15" s="10">
        <v>2</v>
      </c>
      <c r="K15" s="10" t="s">
        <v>98</v>
      </c>
      <c r="L15" s="10" t="s">
        <v>99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14.5" spans="1:25">
      <c r="A16" s="10" t="s">
        <v>121</v>
      </c>
      <c r="B16" s="10" t="s">
        <v>53</v>
      </c>
      <c r="C16" s="10" t="s">
        <v>122</v>
      </c>
      <c r="D16" s="10">
        <v>30000</v>
      </c>
      <c r="E16" s="10">
        <v>3000</v>
      </c>
      <c r="F16" s="10">
        <v>666</v>
      </c>
      <c r="G16" s="10">
        <v>4.505</v>
      </c>
      <c r="H16" s="10">
        <v>10</v>
      </c>
      <c r="I16" s="10">
        <v>10.7053</v>
      </c>
      <c r="J16" s="10">
        <v>3</v>
      </c>
      <c r="K16" s="10" t="s">
        <v>98</v>
      </c>
      <c r="L16" s="10" t="s">
        <v>102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14.5" spans="1:25">
      <c r="A17" s="10" t="s">
        <v>123</v>
      </c>
      <c r="B17" s="10" t="s">
        <v>54</v>
      </c>
      <c r="C17" s="10" t="s">
        <v>124</v>
      </c>
      <c r="D17" s="10">
        <v>5000</v>
      </c>
      <c r="E17" s="10">
        <v>20000</v>
      </c>
      <c r="F17" s="10">
        <v>739</v>
      </c>
      <c r="G17" s="10">
        <v>27.064</v>
      </c>
      <c r="H17" s="10">
        <v>10</v>
      </c>
      <c r="I17" s="10">
        <v>10.8088</v>
      </c>
      <c r="J17" s="10">
        <v>1</v>
      </c>
      <c r="K17" s="10" t="s">
        <v>98</v>
      </c>
      <c r="L17" s="10" t="s">
        <v>99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14.5" spans="1:25">
      <c r="A18" s="10" t="s">
        <v>125</v>
      </c>
      <c r="B18" s="10" t="s">
        <v>54</v>
      </c>
      <c r="C18" s="10" t="s">
        <v>126</v>
      </c>
      <c r="D18" s="10">
        <v>30000</v>
      </c>
      <c r="E18" s="10">
        <v>3000</v>
      </c>
      <c r="F18" s="10">
        <v>666</v>
      </c>
      <c r="G18" s="10">
        <v>4.505</v>
      </c>
      <c r="H18" s="10">
        <v>10</v>
      </c>
      <c r="I18" s="10">
        <v>10.8088</v>
      </c>
      <c r="J18" s="10">
        <v>2</v>
      </c>
      <c r="K18" s="10" t="s">
        <v>98</v>
      </c>
      <c r="L18" s="10" t="s">
        <v>102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14.5" spans="1:25">
      <c r="A19" s="10" t="s">
        <v>127</v>
      </c>
      <c r="B19" s="10" t="s">
        <v>54</v>
      </c>
      <c r="C19" s="10" t="s">
        <v>128</v>
      </c>
      <c r="D19" s="10">
        <v>150000</v>
      </c>
      <c r="E19" s="10">
        <v>500</v>
      </c>
      <c r="F19" s="10">
        <v>556</v>
      </c>
      <c r="G19" s="10">
        <v>0.899</v>
      </c>
      <c r="H19" s="10">
        <v>10</v>
      </c>
      <c r="I19" s="10">
        <v>10.7133</v>
      </c>
      <c r="J19" s="10">
        <v>3</v>
      </c>
      <c r="K19" s="10" t="s">
        <v>98</v>
      </c>
      <c r="L19" s="10" t="s">
        <v>99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4.5" spans="1:25">
      <c r="A20" s="10" t="s">
        <v>129</v>
      </c>
      <c r="B20" s="10" t="s">
        <v>55</v>
      </c>
      <c r="C20" s="10" t="s">
        <v>130</v>
      </c>
      <c r="D20" s="10">
        <v>5000</v>
      </c>
      <c r="E20" s="10">
        <v>20000</v>
      </c>
      <c r="F20" s="10">
        <v>739</v>
      </c>
      <c r="G20" s="10">
        <v>27.064</v>
      </c>
      <c r="H20" s="10">
        <v>10</v>
      </c>
      <c r="I20" s="10">
        <v>10.6874</v>
      </c>
      <c r="J20" s="10">
        <v>1</v>
      </c>
      <c r="K20" s="10" t="s">
        <v>98</v>
      </c>
      <c r="L20" s="10" t="s">
        <v>99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4.5" spans="1:25">
      <c r="A21" s="10" t="s">
        <v>131</v>
      </c>
      <c r="B21" s="10" t="s">
        <v>55</v>
      </c>
      <c r="C21" s="10" t="s">
        <v>132</v>
      </c>
      <c r="D21" s="10">
        <v>10000</v>
      </c>
      <c r="E21" s="10">
        <v>10000</v>
      </c>
      <c r="F21" s="10">
        <v>739</v>
      </c>
      <c r="G21" s="10">
        <v>13.532</v>
      </c>
      <c r="H21" s="10">
        <v>10</v>
      </c>
      <c r="I21" s="10">
        <v>10.6874</v>
      </c>
      <c r="J21" s="10">
        <v>2</v>
      </c>
      <c r="K21" s="10" t="s">
        <v>98</v>
      </c>
      <c r="L21" s="10" t="s">
        <v>99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4.5" spans="1:25">
      <c r="A22" s="10" t="s">
        <v>133</v>
      </c>
      <c r="B22" s="10" t="s">
        <v>55</v>
      </c>
      <c r="C22" s="10" t="s">
        <v>134</v>
      </c>
      <c r="D22" s="10">
        <v>30000</v>
      </c>
      <c r="E22" s="10">
        <v>3000</v>
      </c>
      <c r="F22" s="10">
        <v>666</v>
      </c>
      <c r="G22" s="10">
        <v>4.505</v>
      </c>
      <c r="H22" s="10">
        <v>10</v>
      </c>
      <c r="I22" s="10">
        <v>10.6874</v>
      </c>
      <c r="J22" s="10">
        <v>3</v>
      </c>
      <c r="K22" s="10" t="s">
        <v>98</v>
      </c>
      <c r="L22" s="10" t="s">
        <v>102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4.5" spans="1:25">
      <c r="A23" s="10" t="s">
        <v>135</v>
      </c>
      <c r="B23" s="10" t="s">
        <v>56</v>
      </c>
      <c r="C23" s="10" t="s">
        <v>136</v>
      </c>
      <c r="D23" s="10">
        <v>2000</v>
      </c>
      <c r="E23" s="10">
        <v>50000</v>
      </c>
      <c r="F23" s="10">
        <v>739</v>
      </c>
      <c r="G23" s="10">
        <v>67.659</v>
      </c>
      <c r="H23" s="10">
        <v>10</v>
      </c>
      <c r="I23" s="10">
        <v>8.2947</v>
      </c>
      <c r="J23" s="10">
        <v>1</v>
      </c>
      <c r="K23" s="10" t="s">
        <v>98</v>
      </c>
      <c r="L23" s="10" t="s">
        <v>99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4.5" spans="1:25">
      <c r="A24" s="10" t="s">
        <v>137</v>
      </c>
      <c r="B24" s="10" t="s">
        <v>56</v>
      </c>
      <c r="C24" s="10" t="s">
        <v>138</v>
      </c>
      <c r="D24" s="10">
        <v>16000</v>
      </c>
      <c r="E24" s="10">
        <v>5000</v>
      </c>
      <c r="F24" s="10">
        <v>591</v>
      </c>
      <c r="G24" s="11">
        <v>8.46</v>
      </c>
      <c r="H24" s="10">
        <v>10</v>
      </c>
      <c r="I24" s="12">
        <v>8.29</v>
      </c>
      <c r="J24" s="10">
        <v>2</v>
      </c>
      <c r="K24" s="10" t="s">
        <v>98</v>
      </c>
      <c r="L24" s="10" t="s">
        <v>102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4.5" spans="1:25">
      <c r="A25" s="10" t="s">
        <v>139</v>
      </c>
      <c r="B25" s="10" t="s">
        <v>56</v>
      </c>
      <c r="C25" s="10" t="s">
        <v>140</v>
      </c>
      <c r="D25" s="10">
        <v>120000</v>
      </c>
      <c r="E25" s="10">
        <v>500</v>
      </c>
      <c r="F25" s="10">
        <v>444</v>
      </c>
      <c r="G25" s="10">
        <v>1.126</v>
      </c>
      <c r="H25" s="10">
        <v>10</v>
      </c>
      <c r="I25" s="12">
        <v>8.2898</v>
      </c>
      <c r="J25" s="10">
        <v>3</v>
      </c>
      <c r="K25" s="10" t="s">
        <v>98</v>
      </c>
      <c r="L25" s="10" t="s">
        <v>99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4.5" spans="1:25">
      <c r="A26" s="10" t="s">
        <v>141</v>
      </c>
      <c r="B26" s="10" t="s">
        <v>57</v>
      </c>
      <c r="C26" s="10" t="s">
        <v>142</v>
      </c>
      <c r="D26" s="10">
        <v>2000</v>
      </c>
      <c r="E26" s="10">
        <v>50000</v>
      </c>
      <c r="F26" s="10">
        <v>739</v>
      </c>
      <c r="G26" s="10">
        <v>67.659</v>
      </c>
      <c r="H26" s="10">
        <v>10</v>
      </c>
      <c r="I26" s="10">
        <v>8.4673</v>
      </c>
      <c r="J26" s="10">
        <v>1</v>
      </c>
      <c r="K26" s="10" t="s">
        <v>98</v>
      </c>
      <c r="L26" s="10" t="s">
        <v>99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4.5" spans="1:25">
      <c r="A27" s="10" t="s">
        <v>143</v>
      </c>
      <c r="B27" s="10" t="s">
        <v>57</v>
      </c>
      <c r="C27" s="10" t="s">
        <v>144</v>
      </c>
      <c r="D27" s="10">
        <v>16000</v>
      </c>
      <c r="E27" s="10">
        <v>5000</v>
      </c>
      <c r="F27" s="10">
        <v>591</v>
      </c>
      <c r="G27" s="11">
        <v>8.46</v>
      </c>
      <c r="H27" s="10">
        <v>10</v>
      </c>
      <c r="I27" s="10">
        <v>8.4673</v>
      </c>
      <c r="J27" s="10">
        <v>2</v>
      </c>
      <c r="K27" s="10" t="s">
        <v>98</v>
      </c>
      <c r="L27" s="10" t="s">
        <v>102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4.5" spans="1:25">
      <c r="A28" s="10" t="s">
        <v>145</v>
      </c>
      <c r="B28" s="10" t="s">
        <v>57</v>
      </c>
      <c r="C28" s="10" t="s">
        <v>146</v>
      </c>
      <c r="D28" s="10">
        <v>120000</v>
      </c>
      <c r="E28" s="10">
        <v>500</v>
      </c>
      <c r="F28" s="10">
        <v>444</v>
      </c>
      <c r="G28" s="10">
        <v>1.126</v>
      </c>
      <c r="H28" s="10">
        <v>10</v>
      </c>
      <c r="I28" s="10">
        <v>8.4673</v>
      </c>
      <c r="J28" s="10">
        <v>3</v>
      </c>
      <c r="K28" s="10" t="s">
        <v>98</v>
      </c>
      <c r="L28" s="10" t="s">
        <v>99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4.5" spans="1:25">
      <c r="A29" s="10" t="s">
        <v>147</v>
      </c>
      <c r="B29" s="10" t="s">
        <v>58</v>
      </c>
      <c r="C29" s="10" t="s">
        <v>148</v>
      </c>
      <c r="D29" s="10">
        <v>2000</v>
      </c>
      <c r="E29" s="10">
        <v>50000</v>
      </c>
      <c r="F29" s="10">
        <v>739</v>
      </c>
      <c r="G29" s="10">
        <v>67.659</v>
      </c>
      <c r="H29" s="10">
        <v>10</v>
      </c>
      <c r="I29" s="10">
        <v>8.4673</v>
      </c>
      <c r="J29" s="10">
        <v>1</v>
      </c>
      <c r="K29" s="10" t="s">
        <v>98</v>
      </c>
      <c r="L29" s="10" t="s">
        <v>99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4.5" spans="1:25">
      <c r="A30" s="10" t="s">
        <v>149</v>
      </c>
      <c r="B30" s="10" t="s">
        <v>58</v>
      </c>
      <c r="C30" s="10" t="s">
        <v>150</v>
      </c>
      <c r="D30" s="10">
        <v>16000</v>
      </c>
      <c r="E30" s="10">
        <v>5000</v>
      </c>
      <c r="F30" s="10">
        <v>591</v>
      </c>
      <c r="G30" s="11">
        <v>8.46</v>
      </c>
      <c r="H30" s="10">
        <v>10</v>
      </c>
      <c r="I30" s="10">
        <v>8.4065</v>
      </c>
      <c r="J30" s="10">
        <v>2</v>
      </c>
      <c r="K30" s="10" t="s">
        <v>98</v>
      </c>
      <c r="L30" s="10" t="s">
        <v>102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4.5" spans="1:25">
      <c r="A31" s="10" t="s">
        <v>151</v>
      </c>
      <c r="B31" s="10" t="s">
        <v>58</v>
      </c>
      <c r="C31" s="10" t="s">
        <v>152</v>
      </c>
      <c r="D31" s="10">
        <v>120000</v>
      </c>
      <c r="E31" s="10">
        <v>500</v>
      </c>
      <c r="F31" s="10">
        <v>444</v>
      </c>
      <c r="G31" s="10">
        <v>1.126</v>
      </c>
      <c r="H31" s="10">
        <v>10</v>
      </c>
      <c r="I31" s="10">
        <v>8.4065</v>
      </c>
      <c r="J31" s="10">
        <v>3</v>
      </c>
      <c r="K31" s="10" t="s">
        <v>98</v>
      </c>
      <c r="L31" s="10" t="s">
        <v>99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4.5" spans="1:25">
      <c r="A32" s="10" t="s">
        <v>153</v>
      </c>
      <c r="B32" s="10" t="s">
        <v>59</v>
      </c>
      <c r="C32" s="10" t="s">
        <v>154</v>
      </c>
      <c r="D32" s="10">
        <v>2000</v>
      </c>
      <c r="E32" s="10">
        <v>50000</v>
      </c>
      <c r="F32" s="10">
        <v>739</v>
      </c>
      <c r="G32" s="10">
        <v>67.659</v>
      </c>
      <c r="H32" s="10">
        <v>10</v>
      </c>
      <c r="I32" s="10">
        <v>8.3913</v>
      </c>
      <c r="J32" s="10">
        <v>1</v>
      </c>
      <c r="K32" s="10" t="s">
        <v>98</v>
      </c>
      <c r="L32" s="10" t="s">
        <v>99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4.5" spans="1:25">
      <c r="A33" s="10" t="s">
        <v>155</v>
      </c>
      <c r="B33" s="10" t="s">
        <v>59</v>
      </c>
      <c r="C33" s="10" t="s">
        <v>156</v>
      </c>
      <c r="D33" s="10">
        <v>16000</v>
      </c>
      <c r="E33" s="10">
        <v>5000</v>
      </c>
      <c r="F33" s="10">
        <v>591</v>
      </c>
      <c r="G33" s="11">
        <v>8.46</v>
      </c>
      <c r="H33" s="10">
        <v>10</v>
      </c>
      <c r="I33" s="10">
        <v>8.3853</v>
      </c>
      <c r="J33" s="10">
        <v>2</v>
      </c>
      <c r="K33" s="10" t="s">
        <v>98</v>
      </c>
      <c r="L33" s="10" t="s">
        <v>102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4.5" spans="1:25">
      <c r="A34" s="10" t="s">
        <v>157</v>
      </c>
      <c r="B34" s="10" t="s">
        <v>59</v>
      </c>
      <c r="C34" s="10" t="s">
        <v>158</v>
      </c>
      <c r="D34" s="10">
        <v>120000</v>
      </c>
      <c r="E34" s="10">
        <v>500</v>
      </c>
      <c r="F34" s="10">
        <v>444</v>
      </c>
      <c r="G34" s="10">
        <v>1.126</v>
      </c>
      <c r="H34" s="10">
        <v>10</v>
      </c>
      <c r="I34" s="10">
        <v>8.3833</v>
      </c>
      <c r="J34" s="10">
        <v>3</v>
      </c>
      <c r="K34" s="10" t="s">
        <v>98</v>
      </c>
      <c r="L34" s="10" t="s">
        <v>99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4.5" spans="1:25">
      <c r="A35" s="10" t="s">
        <v>159</v>
      </c>
      <c r="B35" s="10" t="s">
        <v>60</v>
      </c>
      <c r="C35" s="10" t="s">
        <v>160</v>
      </c>
      <c r="D35" s="10">
        <v>2000</v>
      </c>
      <c r="E35" s="10">
        <v>50000</v>
      </c>
      <c r="F35" s="10">
        <v>739</v>
      </c>
      <c r="G35" s="10">
        <v>67.659</v>
      </c>
      <c r="H35" s="10">
        <v>10</v>
      </c>
      <c r="I35" s="10">
        <v>8.3183</v>
      </c>
      <c r="J35" s="10">
        <v>1</v>
      </c>
      <c r="K35" s="10" t="s">
        <v>98</v>
      </c>
      <c r="L35" s="10" t="s">
        <v>99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4.5" spans="1:25">
      <c r="A36" s="10" t="s">
        <v>161</v>
      </c>
      <c r="B36" s="10" t="s">
        <v>60</v>
      </c>
      <c r="C36" s="10" t="s">
        <v>162</v>
      </c>
      <c r="D36" s="10">
        <v>16000</v>
      </c>
      <c r="E36" s="10">
        <v>5000</v>
      </c>
      <c r="F36" s="10">
        <v>591</v>
      </c>
      <c r="G36" s="11">
        <v>8.46</v>
      </c>
      <c r="H36" s="10">
        <v>10</v>
      </c>
      <c r="I36" s="10">
        <v>8.3183</v>
      </c>
      <c r="J36" s="10">
        <v>2</v>
      </c>
      <c r="K36" s="10" t="s">
        <v>98</v>
      </c>
      <c r="L36" s="10" t="s">
        <v>102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4.5" spans="1:25">
      <c r="A37" s="10" t="s">
        <v>163</v>
      </c>
      <c r="B37" s="10" t="s">
        <v>60</v>
      </c>
      <c r="C37" s="10" t="s">
        <v>164</v>
      </c>
      <c r="D37" s="10">
        <v>120000</v>
      </c>
      <c r="E37" s="10">
        <v>500</v>
      </c>
      <c r="F37" s="10">
        <v>444</v>
      </c>
      <c r="G37" s="10">
        <v>1.126</v>
      </c>
      <c r="H37" s="10">
        <v>10</v>
      </c>
      <c r="I37" s="10">
        <v>8.3183</v>
      </c>
      <c r="J37" s="10">
        <v>3</v>
      </c>
      <c r="K37" s="10" t="s">
        <v>98</v>
      </c>
      <c r="L37" s="10" t="s">
        <v>99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4.5" spans="1:25">
      <c r="A38" s="10" t="s">
        <v>165</v>
      </c>
      <c r="B38" s="10" t="s">
        <v>61</v>
      </c>
      <c r="C38" s="10" t="s">
        <v>166</v>
      </c>
      <c r="D38" s="10">
        <v>2000</v>
      </c>
      <c r="E38" s="10">
        <v>50000</v>
      </c>
      <c r="F38" s="10">
        <v>739</v>
      </c>
      <c r="G38" s="10">
        <v>67.659</v>
      </c>
      <c r="H38" s="10">
        <v>10</v>
      </c>
      <c r="I38" s="10">
        <v>8.3634</v>
      </c>
      <c r="J38" s="10">
        <v>1</v>
      </c>
      <c r="K38" s="10" t="s">
        <v>98</v>
      </c>
      <c r="L38" s="10" t="s">
        <v>99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4.5" spans="1:25">
      <c r="A39" s="10" t="s">
        <v>167</v>
      </c>
      <c r="B39" s="10" t="s">
        <v>61</v>
      </c>
      <c r="C39" s="10" t="s">
        <v>168</v>
      </c>
      <c r="D39" s="10">
        <v>16000</v>
      </c>
      <c r="E39" s="10">
        <v>5000</v>
      </c>
      <c r="F39" s="10">
        <v>591</v>
      </c>
      <c r="G39" s="11">
        <v>8.46</v>
      </c>
      <c r="H39" s="10">
        <v>10</v>
      </c>
      <c r="I39" s="10">
        <v>8.3634</v>
      </c>
      <c r="J39" s="10">
        <v>2</v>
      </c>
      <c r="K39" s="10" t="s">
        <v>98</v>
      </c>
      <c r="L39" s="10" t="s">
        <v>102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4.5" spans="1:25">
      <c r="A40" s="10" t="s">
        <v>169</v>
      </c>
      <c r="B40" s="10" t="s">
        <v>61</v>
      </c>
      <c r="C40" s="10" t="s">
        <v>170</v>
      </c>
      <c r="D40" s="10">
        <v>120000</v>
      </c>
      <c r="E40" s="10">
        <v>500</v>
      </c>
      <c r="F40" s="10">
        <v>444</v>
      </c>
      <c r="G40" s="10">
        <v>1.126</v>
      </c>
      <c r="H40" s="10">
        <v>10</v>
      </c>
      <c r="I40" s="10">
        <v>8.3634</v>
      </c>
      <c r="J40" s="10">
        <v>3</v>
      </c>
      <c r="K40" s="10" t="s">
        <v>98</v>
      </c>
      <c r="L40" s="10" t="s">
        <v>99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4.5" spans="1:25">
      <c r="A41" s="10" t="s">
        <v>171</v>
      </c>
      <c r="B41" s="10" t="s">
        <v>62</v>
      </c>
      <c r="C41" s="10" t="s">
        <v>172</v>
      </c>
      <c r="D41" s="10">
        <v>2000</v>
      </c>
      <c r="E41" s="10">
        <v>50000</v>
      </c>
      <c r="F41" s="10">
        <v>739</v>
      </c>
      <c r="G41" s="10">
        <v>67.659</v>
      </c>
      <c r="H41" s="10">
        <v>10</v>
      </c>
      <c r="I41" s="10">
        <v>8.4342</v>
      </c>
      <c r="J41" s="10">
        <v>1</v>
      </c>
      <c r="K41" s="10" t="s">
        <v>98</v>
      </c>
      <c r="L41" s="10" t="s">
        <v>99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4.5" spans="1:25">
      <c r="A42" s="10" t="s">
        <v>173</v>
      </c>
      <c r="B42" s="10" t="s">
        <v>62</v>
      </c>
      <c r="C42" s="10" t="s">
        <v>174</v>
      </c>
      <c r="D42" s="10">
        <v>16000</v>
      </c>
      <c r="E42" s="10">
        <v>5000</v>
      </c>
      <c r="F42" s="10">
        <v>591</v>
      </c>
      <c r="G42" s="11">
        <v>8.46</v>
      </c>
      <c r="H42" s="10">
        <v>10</v>
      </c>
      <c r="I42" s="10">
        <v>8.4342</v>
      </c>
      <c r="J42" s="10">
        <v>2</v>
      </c>
      <c r="K42" s="10" t="s">
        <v>98</v>
      </c>
      <c r="L42" s="10" t="s">
        <v>102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4.5" spans="1:25">
      <c r="A43" s="10" t="s">
        <v>175</v>
      </c>
      <c r="B43" s="10" t="s">
        <v>62</v>
      </c>
      <c r="C43" s="10" t="s">
        <v>176</v>
      </c>
      <c r="D43" s="10">
        <v>120000</v>
      </c>
      <c r="E43" s="10">
        <v>500</v>
      </c>
      <c r="F43" s="10">
        <v>444</v>
      </c>
      <c r="G43" s="10">
        <v>1.126</v>
      </c>
      <c r="H43" s="10">
        <v>10</v>
      </c>
      <c r="I43" s="10">
        <v>8.4318</v>
      </c>
      <c r="J43" s="10">
        <v>3</v>
      </c>
      <c r="K43" s="10" t="s">
        <v>98</v>
      </c>
      <c r="L43" s="10" t="s">
        <v>99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4.5" spans="1:25">
      <c r="A44" s="10" t="s">
        <v>177</v>
      </c>
      <c r="B44" s="10" t="s">
        <v>63</v>
      </c>
      <c r="C44" s="10" t="s">
        <v>178</v>
      </c>
      <c r="D44" s="10">
        <v>2000</v>
      </c>
      <c r="E44" s="10">
        <v>50000</v>
      </c>
      <c r="F44" s="10">
        <v>739</v>
      </c>
      <c r="G44" s="10">
        <v>67.659</v>
      </c>
      <c r="H44" s="10">
        <v>10</v>
      </c>
      <c r="I44" s="10">
        <v>8.4538</v>
      </c>
      <c r="J44" s="10">
        <v>1</v>
      </c>
      <c r="K44" s="10" t="s">
        <v>98</v>
      </c>
      <c r="L44" s="10" t="s">
        <v>99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4.5" spans="1:25">
      <c r="A45" s="10" t="s">
        <v>179</v>
      </c>
      <c r="B45" s="10" t="s">
        <v>63</v>
      </c>
      <c r="C45" s="10" t="s">
        <v>180</v>
      </c>
      <c r="D45" s="10">
        <v>16000</v>
      </c>
      <c r="E45" s="10">
        <v>5000</v>
      </c>
      <c r="F45" s="10">
        <v>591</v>
      </c>
      <c r="G45" s="11">
        <v>8.46</v>
      </c>
      <c r="H45" s="10">
        <v>10</v>
      </c>
      <c r="I45" s="10">
        <v>8.4538</v>
      </c>
      <c r="J45" s="10">
        <v>2</v>
      </c>
      <c r="K45" s="10" t="s">
        <v>98</v>
      </c>
      <c r="L45" s="10" t="s">
        <v>102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4.5" spans="1:25">
      <c r="A46" s="10" t="s">
        <v>181</v>
      </c>
      <c r="B46" s="10" t="s">
        <v>63</v>
      </c>
      <c r="C46" s="10" t="s">
        <v>182</v>
      </c>
      <c r="D46" s="10">
        <v>120000</v>
      </c>
      <c r="E46" s="10">
        <v>500</v>
      </c>
      <c r="F46" s="10">
        <v>444</v>
      </c>
      <c r="G46" s="10">
        <v>1.126</v>
      </c>
      <c r="H46" s="10">
        <v>10</v>
      </c>
      <c r="I46" s="10">
        <v>8.4538</v>
      </c>
      <c r="J46" s="10">
        <v>3</v>
      </c>
      <c r="K46" s="10" t="s">
        <v>98</v>
      </c>
      <c r="L46" s="10" t="s">
        <v>99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4.5" spans="1:25">
      <c r="A47" s="10" t="s">
        <v>183</v>
      </c>
      <c r="B47" s="10" t="s">
        <v>64</v>
      </c>
      <c r="C47" s="10" t="s">
        <v>184</v>
      </c>
      <c r="D47" s="10">
        <v>2000</v>
      </c>
      <c r="E47" s="10">
        <v>50000</v>
      </c>
      <c r="F47" s="10">
        <v>739</v>
      </c>
      <c r="G47" s="10">
        <v>67.659</v>
      </c>
      <c r="H47" s="10">
        <v>10</v>
      </c>
      <c r="I47" s="10">
        <v>9.3111</v>
      </c>
      <c r="J47" s="10">
        <v>1</v>
      </c>
      <c r="K47" s="10" t="s">
        <v>98</v>
      </c>
      <c r="L47" s="10" t="s">
        <v>99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4.5" spans="1:25">
      <c r="A48" s="10" t="s">
        <v>185</v>
      </c>
      <c r="B48" s="10" t="s">
        <v>64</v>
      </c>
      <c r="C48" s="10" t="s">
        <v>186</v>
      </c>
      <c r="D48" s="10">
        <v>16000</v>
      </c>
      <c r="E48" s="10">
        <v>5000</v>
      </c>
      <c r="F48" s="10">
        <v>591</v>
      </c>
      <c r="G48" s="11">
        <v>8.46</v>
      </c>
      <c r="H48" s="10">
        <v>10</v>
      </c>
      <c r="I48" s="10">
        <v>9.3111</v>
      </c>
      <c r="J48" s="10">
        <v>2</v>
      </c>
      <c r="K48" s="10" t="s">
        <v>98</v>
      </c>
      <c r="L48" s="10" t="s">
        <v>102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4.5" spans="1:25">
      <c r="A49" s="10" t="s">
        <v>187</v>
      </c>
      <c r="B49" s="10" t="s">
        <v>64</v>
      </c>
      <c r="C49" s="10" t="s">
        <v>188</v>
      </c>
      <c r="D49" s="10">
        <v>120000</v>
      </c>
      <c r="E49" s="10">
        <v>500</v>
      </c>
      <c r="F49" s="10">
        <v>444</v>
      </c>
      <c r="G49" s="10">
        <v>1.126</v>
      </c>
      <c r="H49" s="10">
        <v>10</v>
      </c>
      <c r="I49" s="10">
        <v>9.3154</v>
      </c>
      <c r="J49" s="10">
        <v>3</v>
      </c>
      <c r="K49" s="10" t="s">
        <v>98</v>
      </c>
      <c r="L49" s="10" t="s">
        <v>99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4.5" spans="1:25">
      <c r="A50" s="10" t="s">
        <v>189</v>
      </c>
      <c r="B50" s="10" t="s">
        <v>66</v>
      </c>
      <c r="C50" s="10" t="s">
        <v>190</v>
      </c>
      <c r="D50" s="10">
        <v>2000</v>
      </c>
      <c r="E50" s="10">
        <v>50000</v>
      </c>
      <c r="F50" s="10">
        <v>739</v>
      </c>
      <c r="G50" s="10">
        <v>67.659</v>
      </c>
      <c r="H50" s="10">
        <v>10</v>
      </c>
      <c r="I50" s="10">
        <v>9.2457</v>
      </c>
      <c r="J50" s="10">
        <v>1</v>
      </c>
      <c r="K50" s="10" t="s">
        <v>98</v>
      </c>
      <c r="L50" s="10" t="s">
        <v>99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4.5" spans="1:25">
      <c r="A51" s="10" t="s">
        <v>191</v>
      </c>
      <c r="B51" s="10" t="s">
        <v>66</v>
      </c>
      <c r="C51" s="10" t="s">
        <v>192</v>
      </c>
      <c r="D51" s="10">
        <v>16000</v>
      </c>
      <c r="E51" s="10">
        <v>5000</v>
      </c>
      <c r="F51" s="10">
        <v>591</v>
      </c>
      <c r="G51" s="11">
        <v>8.46</v>
      </c>
      <c r="H51" s="10">
        <v>10</v>
      </c>
      <c r="I51" s="10">
        <v>9.2373</v>
      </c>
      <c r="J51" s="10">
        <v>2</v>
      </c>
      <c r="K51" s="10" t="s">
        <v>98</v>
      </c>
      <c r="L51" s="10" t="s">
        <v>102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4.5" spans="1:25">
      <c r="A52" s="10" t="s">
        <v>193</v>
      </c>
      <c r="B52" s="10" t="s">
        <v>66</v>
      </c>
      <c r="C52" s="10" t="s">
        <v>194</v>
      </c>
      <c r="D52" s="10">
        <v>120000</v>
      </c>
      <c r="E52" s="10">
        <v>500</v>
      </c>
      <c r="F52" s="10">
        <v>444</v>
      </c>
      <c r="G52" s="10">
        <v>1.126</v>
      </c>
      <c r="H52" s="10">
        <v>10</v>
      </c>
      <c r="I52" s="10">
        <v>9.2376</v>
      </c>
      <c r="J52" s="10">
        <v>3</v>
      </c>
      <c r="K52" s="10" t="s">
        <v>98</v>
      </c>
      <c r="L52" s="10" t="s">
        <v>99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4.5" spans="1:25">
      <c r="A53" s="10" t="s">
        <v>195</v>
      </c>
      <c r="B53" s="10" t="s">
        <v>67</v>
      </c>
      <c r="C53" s="10" t="s">
        <v>196</v>
      </c>
      <c r="D53" s="10">
        <v>2000</v>
      </c>
      <c r="E53" s="10">
        <v>50000</v>
      </c>
      <c r="F53" s="10">
        <v>739</v>
      </c>
      <c r="G53" s="10">
        <v>67.659</v>
      </c>
      <c r="H53" s="10">
        <v>10</v>
      </c>
      <c r="I53" s="10">
        <v>9.4719</v>
      </c>
      <c r="J53" s="10">
        <v>1</v>
      </c>
      <c r="K53" s="10" t="s">
        <v>98</v>
      </c>
      <c r="L53" s="10" t="s">
        <v>99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4.5" spans="1:25">
      <c r="A54" s="10" t="s">
        <v>197</v>
      </c>
      <c r="B54" s="10" t="s">
        <v>67</v>
      </c>
      <c r="C54" s="10" t="s">
        <v>198</v>
      </c>
      <c r="D54" s="10">
        <v>16000</v>
      </c>
      <c r="E54" s="10">
        <v>5000</v>
      </c>
      <c r="F54" s="10">
        <v>591</v>
      </c>
      <c r="G54" s="11">
        <v>8.46</v>
      </c>
      <c r="H54" s="10">
        <v>10</v>
      </c>
      <c r="I54" s="10">
        <v>9.4719</v>
      </c>
      <c r="J54" s="10">
        <v>2</v>
      </c>
      <c r="K54" s="10" t="s">
        <v>98</v>
      </c>
      <c r="L54" s="10" t="s">
        <v>102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4.5" spans="1:25">
      <c r="A55" s="10" t="s">
        <v>199</v>
      </c>
      <c r="B55" s="10" t="s">
        <v>67</v>
      </c>
      <c r="C55" s="10" t="s">
        <v>200</v>
      </c>
      <c r="D55" s="10">
        <v>120000</v>
      </c>
      <c r="E55" s="10">
        <v>500</v>
      </c>
      <c r="F55" s="10">
        <v>444</v>
      </c>
      <c r="G55" s="10">
        <v>1.126</v>
      </c>
      <c r="H55" s="10">
        <v>10</v>
      </c>
      <c r="I55" s="10">
        <v>9.4711</v>
      </c>
      <c r="J55" s="10">
        <v>3</v>
      </c>
      <c r="K55" s="10" t="s">
        <v>98</v>
      </c>
      <c r="L55" s="10" t="s">
        <v>99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4.5" spans="1:25">
      <c r="A56" s="10" t="s">
        <v>201</v>
      </c>
      <c r="B56" s="10" t="s">
        <v>68</v>
      </c>
      <c r="C56" s="10" t="s">
        <v>202</v>
      </c>
      <c r="D56" s="10">
        <v>2000</v>
      </c>
      <c r="E56" s="10">
        <v>50000</v>
      </c>
      <c r="F56" s="10">
        <v>739</v>
      </c>
      <c r="G56" s="10">
        <v>67.659</v>
      </c>
      <c r="H56" s="10">
        <v>10</v>
      </c>
      <c r="I56" s="10">
        <v>10.3558</v>
      </c>
      <c r="J56" s="10">
        <v>1</v>
      </c>
      <c r="K56" s="10" t="s">
        <v>98</v>
      </c>
      <c r="L56" s="10" t="s">
        <v>99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4.5" spans="1:25">
      <c r="A57" s="10" t="s">
        <v>203</v>
      </c>
      <c r="B57" s="10" t="s">
        <v>68</v>
      </c>
      <c r="C57" s="10" t="s">
        <v>204</v>
      </c>
      <c r="D57" s="10">
        <v>16000</v>
      </c>
      <c r="E57" s="10">
        <v>5000</v>
      </c>
      <c r="F57" s="10">
        <v>591</v>
      </c>
      <c r="G57" s="11">
        <v>8.46</v>
      </c>
      <c r="H57" s="10">
        <v>10</v>
      </c>
      <c r="I57" s="10">
        <v>10.3676</v>
      </c>
      <c r="J57" s="10">
        <v>2</v>
      </c>
      <c r="K57" s="10" t="s">
        <v>98</v>
      </c>
      <c r="L57" s="10" t="s">
        <v>102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4.5" spans="1:25">
      <c r="A58" s="10" t="s">
        <v>205</v>
      </c>
      <c r="B58" s="10" t="s">
        <v>68</v>
      </c>
      <c r="C58" s="10" t="s">
        <v>206</v>
      </c>
      <c r="D58" s="10">
        <v>120000</v>
      </c>
      <c r="E58" s="10">
        <v>500</v>
      </c>
      <c r="F58" s="10">
        <v>444</v>
      </c>
      <c r="G58" s="10">
        <v>1.126</v>
      </c>
      <c r="H58" s="10">
        <v>10</v>
      </c>
      <c r="I58" s="10">
        <v>10.3686</v>
      </c>
      <c r="J58" s="10">
        <v>3</v>
      </c>
      <c r="K58" s="10" t="s">
        <v>98</v>
      </c>
      <c r="L58" s="10" t="s">
        <v>99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4.5" spans="1:25">
      <c r="A59" s="10" t="s">
        <v>207</v>
      </c>
      <c r="B59" s="10" t="s">
        <v>69</v>
      </c>
      <c r="C59" s="10" t="s">
        <v>208</v>
      </c>
      <c r="D59" s="10">
        <v>2000</v>
      </c>
      <c r="E59" s="10">
        <v>50000</v>
      </c>
      <c r="F59" s="10">
        <v>739</v>
      </c>
      <c r="G59" s="10">
        <v>67.659</v>
      </c>
      <c r="H59" s="10">
        <v>10</v>
      </c>
      <c r="I59" s="10">
        <v>10.4618</v>
      </c>
      <c r="J59" s="10">
        <v>1</v>
      </c>
      <c r="K59" s="10" t="s">
        <v>98</v>
      </c>
      <c r="L59" s="10" t="s">
        <v>99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4.5" spans="1:25">
      <c r="A60" s="10" t="s">
        <v>209</v>
      </c>
      <c r="B60" s="10" t="s">
        <v>69</v>
      </c>
      <c r="C60" s="10" t="s">
        <v>210</v>
      </c>
      <c r="D60" s="10">
        <v>16000</v>
      </c>
      <c r="E60" s="10">
        <v>5000</v>
      </c>
      <c r="F60" s="10">
        <v>591</v>
      </c>
      <c r="G60" s="11">
        <v>8.46</v>
      </c>
      <c r="H60" s="10">
        <v>10</v>
      </c>
      <c r="I60" s="10">
        <v>10.4618</v>
      </c>
      <c r="J60" s="10">
        <v>2</v>
      </c>
      <c r="K60" s="10" t="s">
        <v>98</v>
      </c>
      <c r="L60" s="10" t="s">
        <v>102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4.5" spans="1:25">
      <c r="A61" s="10" t="s">
        <v>211</v>
      </c>
      <c r="B61" s="10" t="s">
        <v>69</v>
      </c>
      <c r="C61" s="10" t="s">
        <v>212</v>
      </c>
      <c r="D61" s="10">
        <v>120000</v>
      </c>
      <c r="E61" s="10">
        <v>500</v>
      </c>
      <c r="F61" s="10">
        <v>444</v>
      </c>
      <c r="G61" s="10">
        <v>1.126</v>
      </c>
      <c r="H61" s="10">
        <v>10</v>
      </c>
      <c r="I61" s="10">
        <v>10.4598</v>
      </c>
      <c r="J61" s="10">
        <v>3</v>
      </c>
      <c r="K61" s="10" t="s">
        <v>98</v>
      </c>
      <c r="L61" s="10" t="s">
        <v>99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4.5" spans="1:25">
      <c r="A62" s="10" t="s">
        <v>213</v>
      </c>
      <c r="B62" s="10" t="s">
        <v>70</v>
      </c>
      <c r="C62" s="10" t="s">
        <v>214</v>
      </c>
      <c r="D62" s="10">
        <v>2000</v>
      </c>
      <c r="E62" s="10">
        <v>50000</v>
      </c>
      <c r="F62" s="10">
        <v>739</v>
      </c>
      <c r="G62" s="10">
        <v>67.659</v>
      </c>
      <c r="H62" s="10">
        <v>10</v>
      </c>
      <c r="I62" s="10">
        <v>10.5543</v>
      </c>
      <c r="J62" s="10">
        <v>1</v>
      </c>
      <c r="K62" s="10" t="s">
        <v>98</v>
      </c>
      <c r="L62" s="10" t="s">
        <v>99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4.5" spans="1:25">
      <c r="A63" s="10" t="s">
        <v>215</v>
      </c>
      <c r="B63" s="10" t="s">
        <v>70</v>
      </c>
      <c r="C63" s="10" t="s">
        <v>216</v>
      </c>
      <c r="D63" s="10">
        <v>16000</v>
      </c>
      <c r="E63" s="10">
        <v>5000</v>
      </c>
      <c r="F63" s="10">
        <v>591</v>
      </c>
      <c r="G63" s="11">
        <v>8.46</v>
      </c>
      <c r="H63" s="10">
        <v>10</v>
      </c>
      <c r="I63" s="10">
        <v>10.5543</v>
      </c>
      <c r="J63" s="10">
        <v>2</v>
      </c>
      <c r="K63" s="10" t="s">
        <v>98</v>
      </c>
      <c r="L63" s="10" t="s">
        <v>102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4.5" spans="1:25">
      <c r="A64" s="10" t="s">
        <v>217</v>
      </c>
      <c r="B64" s="10" t="s">
        <v>70</v>
      </c>
      <c r="C64" s="10" t="s">
        <v>218</v>
      </c>
      <c r="D64" s="10">
        <v>120000</v>
      </c>
      <c r="E64" s="10">
        <v>500</v>
      </c>
      <c r="F64" s="10">
        <v>444</v>
      </c>
      <c r="G64" s="10">
        <v>1.126</v>
      </c>
      <c r="H64" s="10">
        <v>10</v>
      </c>
      <c r="I64" s="10">
        <v>10.5543</v>
      </c>
      <c r="J64" s="10">
        <v>3</v>
      </c>
      <c r="K64" s="10" t="s">
        <v>98</v>
      </c>
      <c r="L64" s="10" t="s">
        <v>99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4.5" spans="1:25">
      <c r="A65" s="10" t="s">
        <v>219</v>
      </c>
      <c r="B65" s="10" t="s">
        <v>71</v>
      </c>
      <c r="C65" s="10" t="s">
        <v>220</v>
      </c>
      <c r="D65" s="10">
        <v>2000</v>
      </c>
      <c r="E65" s="10">
        <v>50000</v>
      </c>
      <c r="F65" s="10">
        <v>739</v>
      </c>
      <c r="G65" s="10">
        <v>67.659</v>
      </c>
      <c r="H65" s="10">
        <v>10</v>
      </c>
      <c r="I65" s="10">
        <v>10.5006</v>
      </c>
      <c r="J65" s="10">
        <v>1</v>
      </c>
      <c r="K65" s="10" t="s">
        <v>98</v>
      </c>
      <c r="L65" s="10" t="s">
        <v>99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4.5" spans="1:25">
      <c r="A66" s="10" t="s">
        <v>221</v>
      </c>
      <c r="B66" s="10" t="s">
        <v>71</v>
      </c>
      <c r="C66" s="10" t="s">
        <v>222</v>
      </c>
      <c r="D66" s="10">
        <v>16000</v>
      </c>
      <c r="E66" s="10">
        <v>5000</v>
      </c>
      <c r="F66" s="10">
        <v>591</v>
      </c>
      <c r="G66" s="11">
        <v>8.46</v>
      </c>
      <c r="H66" s="10">
        <v>10</v>
      </c>
      <c r="I66" s="10">
        <v>10.5129</v>
      </c>
      <c r="J66" s="10">
        <v>2</v>
      </c>
      <c r="K66" s="10" t="s">
        <v>98</v>
      </c>
      <c r="L66" s="10" t="s">
        <v>102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4.5" spans="1:25">
      <c r="A67" s="10" t="s">
        <v>223</v>
      </c>
      <c r="B67" s="10" t="s">
        <v>71</v>
      </c>
      <c r="C67" s="10" t="s">
        <v>224</v>
      </c>
      <c r="D67" s="10">
        <v>120000</v>
      </c>
      <c r="E67" s="10">
        <v>500</v>
      </c>
      <c r="F67" s="10">
        <v>444</v>
      </c>
      <c r="G67" s="10">
        <v>1.126</v>
      </c>
      <c r="H67" s="10">
        <v>10</v>
      </c>
      <c r="I67" s="10">
        <v>10.5129</v>
      </c>
      <c r="J67" s="10">
        <v>3</v>
      </c>
      <c r="K67" s="10" t="s">
        <v>98</v>
      </c>
      <c r="L67" s="10" t="s">
        <v>99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4.5" spans="1:25">
      <c r="A68" s="10" t="s">
        <v>225</v>
      </c>
      <c r="B68" s="10" t="s">
        <v>72</v>
      </c>
      <c r="C68" s="10" t="s">
        <v>226</v>
      </c>
      <c r="D68" s="10">
        <v>2000</v>
      </c>
      <c r="E68" s="10">
        <v>50000</v>
      </c>
      <c r="F68" s="10">
        <v>739</v>
      </c>
      <c r="G68" s="10">
        <v>67.659</v>
      </c>
      <c r="H68" s="10">
        <v>10</v>
      </c>
      <c r="I68" s="10">
        <v>10.6893</v>
      </c>
      <c r="J68" s="10">
        <v>1</v>
      </c>
      <c r="K68" s="10" t="s">
        <v>98</v>
      </c>
      <c r="L68" s="10" t="s">
        <v>99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4.5" spans="1:25">
      <c r="A69" s="10" t="s">
        <v>227</v>
      </c>
      <c r="B69" s="10" t="s">
        <v>72</v>
      </c>
      <c r="C69" s="10" t="s">
        <v>228</v>
      </c>
      <c r="D69" s="10">
        <v>16000</v>
      </c>
      <c r="E69" s="10">
        <v>5000</v>
      </c>
      <c r="F69" s="10">
        <v>591</v>
      </c>
      <c r="G69" s="11">
        <v>8.46</v>
      </c>
      <c r="H69" s="10">
        <v>10</v>
      </c>
      <c r="I69" s="10">
        <v>10.6893</v>
      </c>
      <c r="J69" s="10">
        <v>2</v>
      </c>
      <c r="K69" s="10" t="s">
        <v>98</v>
      </c>
      <c r="L69" s="10" t="s">
        <v>102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4.5" spans="1:25">
      <c r="A70" s="10" t="s">
        <v>229</v>
      </c>
      <c r="B70" s="10" t="s">
        <v>72</v>
      </c>
      <c r="C70" s="10" t="s">
        <v>230</v>
      </c>
      <c r="D70" s="10">
        <v>120000</v>
      </c>
      <c r="E70" s="10">
        <v>500</v>
      </c>
      <c r="F70" s="10">
        <v>444</v>
      </c>
      <c r="G70" s="10">
        <v>1.126</v>
      </c>
      <c r="H70" s="10">
        <v>10</v>
      </c>
      <c r="I70" s="10">
        <v>10.6893</v>
      </c>
      <c r="J70" s="10">
        <v>3</v>
      </c>
      <c r="K70" s="10" t="s">
        <v>98</v>
      </c>
      <c r="L70" s="10" t="s">
        <v>99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4.5" spans="1:25">
      <c r="A71" s="10" t="s">
        <v>231</v>
      </c>
      <c r="B71" s="10" t="s">
        <v>73</v>
      </c>
      <c r="C71" s="10" t="s">
        <v>232</v>
      </c>
      <c r="D71" s="10">
        <v>2000</v>
      </c>
      <c r="E71" s="10">
        <v>50000</v>
      </c>
      <c r="F71" s="10">
        <v>739</v>
      </c>
      <c r="G71" s="10">
        <v>67.659</v>
      </c>
      <c r="H71" s="10">
        <v>10</v>
      </c>
      <c r="I71" s="10">
        <v>10.4266</v>
      </c>
      <c r="J71" s="10">
        <v>1</v>
      </c>
      <c r="K71" s="10" t="s">
        <v>98</v>
      </c>
      <c r="L71" s="10" t="s">
        <v>99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4.5" spans="1:25">
      <c r="A72" s="10" t="s">
        <v>233</v>
      </c>
      <c r="B72" s="10" t="s">
        <v>73</v>
      </c>
      <c r="C72" s="10" t="s">
        <v>234</v>
      </c>
      <c r="D72" s="10">
        <v>16000</v>
      </c>
      <c r="E72" s="10">
        <v>5000</v>
      </c>
      <c r="F72" s="10">
        <v>591</v>
      </c>
      <c r="G72" s="11">
        <v>8.46</v>
      </c>
      <c r="H72" s="10">
        <v>10</v>
      </c>
      <c r="I72" s="10">
        <v>10.4266</v>
      </c>
      <c r="J72" s="10">
        <v>2</v>
      </c>
      <c r="K72" s="10" t="s">
        <v>98</v>
      </c>
      <c r="L72" s="10" t="s">
        <v>102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4.5" spans="1:25">
      <c r="A73" s="10" t="s">
        <v>235</v>
      </c>
      <c r="B73" s="10" t="s">
        <v>73</v>
      </c>
      <c r="C73" s="10" t="s">
        <v>236</v>
      </c>
      <c r="D73" s="10">
        <v>120000</v>
      </c>
      <c r="E73" s="10">
        <v>500</v>
      </c>
      <c r="F73" s="10">
        <v>444</v>
      </c>
      <c r="G73" s="10">
        <v>1.126</v>
      </c>
      <c r="H73" s="10">
        <v>10</v>
      </c>
      <c r="I73" s="10">
        <v>10.4253</v>
      </c>
      <c r="J73" s="10">
        <v>3</v>
      </c>
      <c r="K73" s="10" t="s">
        <v>98</v>
      </c>
      <c r="L73" s="10" t="s">
        <v>99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4.5" spans="1:25">
      <c r="A74" s="10" t="s">
        <v>237</v>
      </c>
      <c r="B74" s="10" t="s">
        <v>74</v>
      </c>
      <c r="C74" s="10" t="s">
        <v>238</v>
      </c>
      <c r="D74" s="10">
        <v>2000</v>
      </c>
      <c r="E74" s="10">
        <v>50000</v>
      </c>
      <c r="F74" s="10">
        <v>739</v>
      </c>
      <c r="G74" s="10">
        <v>67.659</v>
      </c>
      <c r="H74" s="10">
        <v>10</v>
      </c>
      <c r="I74" s="12">
        <v>10.455</v>
      </c>
      <c r="J74" s="10">
        <v>1</v>
      </c>
      <c r="K74" s="10" t="s">
        <v>98</v>
      </c>
      <c r="L74" s="10" t="s">
        <v>99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4.5" spans="1:25">
      <c r="A75" s="10" t="s">
        <v>239</v>
      </c>
      <c r="B75" s="10" t="s">
        <v>74</v>
      </c>
      <c r="C75" s="10" t="s">
        <v>240</v>
      </c>
      <c r="D75" s="10">
        <v>16000</v>
      </c>
      <c r="E75" s="10">
        <v>5000</v>
      </c>
      <c r="F75" s="10">
        <v>591</v>
      </c>
      <c r="G75" s="11">
        <v>8.46</v>
      </c>
      <c r="H75" s="10">
        <v>10</v>
      </c>
      <c r="I75" s="12">
        <v>10.455</v>
      </c>
      <c r="J75" s="10">
        <v>2</v>
      </c>
      <c r="K75" s="10" t="s">
        <v>98</v>
      </c>
      <c r="L75" s="10" t="s">
        <v>102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4.5" spans="1:25">
      <c r="A76" s="10" t="s">
        <v>241</v>
      </c>
      <c r="B76" s="10" t="s">
        <v>74</v>
      </c>
      <c r="C76" s="10" t="s">
        <v>242</v>
      </c>
      <c r="D76" s="10">
        <v>120000</v>
      </c>
      <c r="E76" s="10">
        <v>500</v>
      </c>
      <c r="F76" s="10">
        <v>444</v>
      </c>
      <c r="G76" s="10">
        <v>1.126</v>
      </c>
      <c r="H76" s="10">
        <v>10</v>
      </c>
      <c r="I76" s="12">
        <v>10.4466</v>
      </c>
      <c r="J76" s="10">
        <v>3</v>
      </c>
      <c r="K76" s="10" t="s">
        <v>98</v>
      </c>
      <c r="L76" s="10" t="s">
        <v>99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4.5" spans="1:25">
      <c r="A77" s="10" t="s">
        <v>243</v>
      </c>
      <c r="B77" s="10" t="s">
        <v>75</v>
      </c>
      <c r="C77" s="10" t="s">
        <v>244</v>
      </c>
      <c r="D77" s="10">
        <v>2000</v>
      </c>
      <c r="E77" s="10">
        <v>50000</v>
      </c>
      <c r="F77" s="10">
        <v>739</v>
      </c>
      <c r="G77" s="10">
        <v>67.659</v>
      </c>
      <c r="H77" s="10">
        <v>10</v>
      </c>
      <c r="I77" s="12">
        <v>10.5708</v>
      </c>
      <c r="J77" s="10">
        <v>1</v>
      </c>
      <c r="K77" s="10" t="s">
        <v>98</v>
      </c>
      <c r="L77" s="10" t="s">
        <v>99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4.5" spans="1:25">
      <c r="A78" s="10" t="s">
        <v>245</v>
      </c>
      <c r="B78" s="10" t="s">
        <v>75</v>
      </c>
      <c r="C78" s="10" t="s">
        <v>246</v>
      </c>
      <c r="D78" s="10">
        <v>16000</v>
      </c>
      <c r="E78" s="10">
        <v>5000</v>
      </c>
      <c r="F78" s="10">
        <v>591</v>
      </c>
      <c r="G78" s="11">
        <v>8.46</v>
      </c>
      <c r="H78" s="10">
        <v>10</v>
      </c>
      <c r="I78" s="12">
        <v>10.5708</v>
      </c>
      <c r="J78" s="10">
        <v>2</v>
      </c>
      <c r="K78" s="10" t="s">
        <v>98</v>
      </c>
      <c r="L78" s="10" t="s">
        <v>102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4.5" spans="1:25">
      <c r="A79" s="10" t="s">
        <v>247</v>
      </c>
      <c r="B79" s="10" t="s">
        <v>75</v>
      </c>
      <c r="C79" s="10" t="s">
        <v>248</v>
      </c>
      <c r="D79" s="10">
        <v>120000</v>
      </c>
      <c r="E79" s="10">
        <v>500</v>
      </c>
      <c r="F79" s="10">
        <v>444</v>
      </c>
      <c r="G79" s="10">
        <v>1.126</v>
      </c>
      <c r="H79" s="10">
        <v>10</v>
      </c>
      <c r="I79" s="12">
        <v>10.5713</v>
      </c>
      <c r="J79" s="10">
        <v>3</v>
      </c>
      <c r="K79" s="10" t="s">
        <v>98</v>
      </c>
      <c r="L79" s="10" t="s">
        <v>99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4.5" spans="1:25">
      <c r="A80" s="10" t="s">
        <v>249</v>
      </c>
      <c r="B80" s="10" t="s">
        <v>76</v>
      </c>
      <c r="C80" s="10" t="s">
        <v>250</v>
      </c>
      <c r="D80" s="10">
        <v>2000</v>
      </c>
      <c r="E80" s="10">
        <v>50000</v>
      </c>
      <c r="F80" s="10">
        <v>739</v>
      </c>
      <c r="G80" s="10">
        <v>67.659</v>
      </c>
      <c r="H80" s="10">
        <v>10</v>
      </c>
      <c r="I80" s="12">
        <v>10.5189</v>
      </c>
      <c r="J80" s="10">
        <v>1</v>
      </c>
      <c r="K80" s="10" t="s">
        <v>98</v>
      </c>
      <c r="L80" s="10" t="s">
        <v>99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4.5" spans="1:25">
      <c r="A81" s="10" t="s">
        <v>251</v>
      </c>
      <c r="B81" s="10" t="s">
        <v>76</v>
      </c>
      <c r="C81" s="10" t="s">
        <v>252</v>
      </c>
      <c r="D81" s="10">
        <v>16000</v>
      </c>
      <c r="E81" s="10">
        <v>5000</v>
      </c>
      <c r="F81" s="10">
        <v>591</v>
      </c>
      <c r="G81" s="11">
        <v>8.46</v>
      </c>
      <c r="H81" s="10">
        <v>10</v>
      </c>
      <c r="I81" s="12">
        <v>10.5189</v>
      </c>
      <c r="J81" s="10">
        <v>2</v>
      </c>
      <c r="K81" s="10" t="s">
        <v>98</v>
      </c>
      <c r="L81" s="10" t="s">
        <v>102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4.5" spans="1:25">
      <c r="A82" s="10" t="s">
        <v>253</v>
      </c>
      <c r="B82" s="10" t="s">
        <v>76</v>
      </c>
      <c r="C82" s="10" t="s">
        <v>254</v>
      </c>
      <c r="D82" s="10">
        <v>120000</v>
      </c>
      <c r="E82" s="10">
        <v>500</v>
      </c>
      <c r="F82" s="10">
        <v>444</v>
      </c>
      <c r="G82" s="10">
        <v>1.126</v>
      </c>
      <c r="H82" s="10">
        <v>10</v>
      </c>
      <c r="I82" s="12">
        <v>10.5189</v>
      </c>
      <c r="J82" s="10">
        <v>3</v>
      </c>
      <c r="K82" s="10" t="s">
        <v>98</v>
      </c>
      <c r="L82" s="10" t="s">
        <v>99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4.5" spans="1:25">
      <c r="A83" s="10" t="s">
        <v>255</v>
      </c>
      <c r="B83" s="10" t="s">
        <v>77</v>
      </c>
      <c r="C83" s="10" t="s">
        <v>256</v>
      </c>
      <c r="D83" s="10">
        <v>2000</v>
      </c>
      <c r="E83" s="10">
        <v>50000</v>
      </c>
      <c r="F83" s="10">
        <v>739</v>
      </c>
      <c r="G83" s="10">
        <v>67.659</v>
      </c>
      <c r="H83" s="10">
        <v>10</v>
      </c>
      <c r="I83" s="10">
        <v>8.8435</v>
      </c>
      <c r="J83" s="10">
        <v>1</v>
      </c>
      <c r="K83" s="10" t="s">
        <v>98</v>
      </c>
      <c r="L83" s="10" t="s">
        <v>99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4.5" spans="1:25">
      <c r="A84" s="10" t="s">
        <v>257</v>
      </c>
      <c r="B84" s="10" t="s">
        <v>77</v>
      </c>
      <c r="C84" s="10" t="s">
        <v>258</v>
      </c>
      <c r="D84" s="10">
        <v>16000</v>
      </c>
      <c r="E84" s="10">
        <v>5000</v>
      </c>
      <c r="F84" s="10">
        <v>591</v>
      </c>
      <c r="G84" s="11">
        <v>8.46</v>
      </c>
      <c r="H84" s="10">
        <v>10</v>
      </c>
      <c r="I84" s="10">
        <v>8.8435</v>
      </c>
      <c r="J84" s="10">
        <v>2</v>
      </c>
      <c r="K84" s="10" t="s">
        <v>98</v>
      </c>
      <c r="L84" s="10" t="s">
        <v>102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4.5" spans="1:25">
      <c r="A85" s="10" t="s">
        <v>259</v>
      </c>
      <c r="B85" s="10" t="s">
        <v>77</v>
      </c>
      <c r="C85" s="10" t="s">
        <v>260</v>
      </c>
      <c r="D85" s="10">
        <v>120000</v>
      </c>
      <c r="E85" s="10">
        <v>500</v>
      </c>
      <c r="F85" s="10">
        <v>444</v>
      </c>
      <c r="G85" s="10">
        <v>1.126</v>
      </c>
      <c r="H85" s="10">
        <v>10</v>
      </c>
      <c r="I85" s="10">
        <v>8.8435</v>
      </c>
      <c r="J85" s="10">
        <v>3</v>
      </c>
      <c r="K85" s="10" t="s">
        <v>98</v>
      </c>
      <c r="L85" s="10" t="s">
        <v>99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4.5" spans="1:25">
      <c r="A86" s="10" t="s">
        <v>261</v>
      </c>
      <c r="B86" s="10" t="s">
        <v>78</v>
      </c>
      <c r="C86" s="10" t="s">
        <v>262</v>
      </c>
      <c r="D86" s="10">
        <v>2000</v>
      </c>
      <c r="E86" s="10">
        <v>50000</v>
      </c>
      <c r="F86" s="10">
        <v>739</v>
      </c>
      <c r="G86" s="10">
        <v>67.659</v>
      </c>
      <c r="H86" s="10">
        <v>10</v>
      </c>
      <c r="I86" s="10">
        <v>8.9145</v>
      </c>
      <c r="J86" s="10">
        <v>1</v>
      </c>
      <c r="K86" s="10" t="s">
        <v>98</v>
      </c>
      <c r="L86" s="10" t="s">
        <v>99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4.5" spans="1:25">
      <c r="A87" s="10" t="s">
        <v>263</v>
      </c>
      <c r="B87" s="10" t="s">
        <v>78</v>
      </c>
      <c r="C87" s="10" t="s">
        <v>264</v>
      </c>
      <c r="D87" s="10">
        <v>16000</v>
      </c>
      <c r="E87" s="10">
        <v>5000</v>
      </c>
      <c r="F87" s="10">
        <v>591</v>
      </c>
      <c r="G87" s="11">
        <v>8.46</v>
      </c>
      <c r="H87" s="10">
        <v>10</v>
      </c>
      <c r="I87" s="10">
        <v>8.9145</v>
      </c>
      <c r="J87" s="10">
        <v>2</v>
      </c>
      <c r="K87" s="10" t="s">
        <v>98</v>
      </c>
      <c r="L87" s="10" t="s">
        <v>102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4.5" spans="1:25">
      <c r="A88" s="10" t="s">
        <v>265</v>
      </c>
      <c r="B88" s="10" t="s">
        <v>78</v>
      </c>
      <c r="C88" s="10" t="s">
        <v>266</v>
      </c>
      <c r="D88" s="10">
        <v>120000</v>
      </c>
      <c r="E88" s="10">
        <v>500</v>
      </c>
      <c r="F88" s="10">
        <v>444</v>
      </c>
      <c r="G88" s="10">
        <v>1.126</v>
      </c>
      <c r="H88" s="10">
        <v>10</v>
      </c>
      <c r="I88" s="10">
        <v>8.9145</v>
      </c>
      <c r="J88" s="10">
        <v>3</v>
      </c>
      <c r="K88" s="10" t="s">
        <v>98</v>
      </c>
      <c r="L88" s="10" t="s">
        <v>99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4.5" spans="1:25">
      <c r="A89" s="10" t="s">
        <v>267</v>
      </c>
      <c r="B89" s="10" t="s">
        <v>79</v>
      </c>
      <c r="C89" s="10" t="s">
        <v>268</v>
      </c>
      <c r="D89" s="10">
        <v>2000</v>
      </c>
      <c r="E89" s="10">
        <v>50000</v>
      </c>
      <c r="F89" s="10">
        <v>739</v>
      </c>
      <c r="G89" s="10">
        <v>67.659</v>
      </c>
      <c r="H89" s="10">
        <v>10</v>
      </c>
      <c r="I89" s="10">
        <v>9.0004</v>
      </c>
      <c r="J89" s="10">
        <v>1</v>
      </c>
      <c r="K89" s="10" t="s">
        <v>98</v>
      </c>
      <c r="L89" s="10" t="s">
        <v>99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4.5" spans="1:25">
      <c r="A90" s="10" t="s">
        <v>269</v>
      </c>
      <c r="B90" s="10" t="s">
        <v>79</v>
      </c>
      <c r="C90" s="10" t="s">
        <v>270</v>
      </c>
      <c r="D90" s="10">
        <v>16000</v>
      </c>
      <c r="E90" s="10">
        <v>5000</v>
      </c>
      <c r="F90" s="10">
        <v>591</v>
      </c>
      <c r="G90" s="11">
        <v>8.46</v>
      </c>
      <c r="H90" s="10">
        <v>10</v>
      </c>
      <c r="I90" s="10">
        <v>9.0004</v>
      </c>
      <c r="J90" s="10">
        <v>2</v>
      </c>
      <c r="K90" s="10" t="s">
        <v>98</v>
      </c>
      <c r="L90" s="10" t="s">
        <v>102</v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4.5" spans="1:25">
      <c r="A91" s="10" t="s">
        <v>271</v>
      </c>
      <c r="B91" s="10" t="s">
        <v>79</v>
      </c>
      <c r="C91" s="10" t="s">
        <v>272</v>
      </c>
      <c r="D91" s="10">
        <v>120000</v>
      </c>
      <c r="E91" s="10">
        <v>500</v>
      </c>
      <c r="F91" s="10">
        <v>444</v>
      </c>
      <c r="G91" s="10">
        <v>1.126</v>
      </c>
      <c r="H91" s="10">
        <v>10</v>
      </c>
      <c r="I91" s="10">
        <v>9.0004</v>
      </c>
      <c r="J91" s="10">
        <v>3</v>
      </c>
      <c r="K91" s="10" t="s">
        <v>98</v>
      </c>
      <c r="L91" s="10" t="s">
        <v>99</v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4.5" spans="1:25">
      <c r="A92" s="10" t="s">
        <v>273</v>
      </c>
      <c r="B92" s="10" t="s">
        <v>80</v>
      </c>
      <c r="C92" s="10" t="s">
        <v>274</v>
      </c>
      <c r="D92" s="10">
        <v>2000</v>
      </c>
      <c r="E92" s="10">
        <v>50000</v>
      </c>
      <c r="F92" s="10">
        <v>739</v>
      </c>
      <c r="G92" s="10">
        <v>67.659</v>
      </c>
      <c r="H92" s="10">
        <v>10</v>
      </c>
      <c r="I92" s="10">
        <v>9.3443</v>
      </c>
      <c r="J92" s="10">
        <v>1</v>
      </c>
      <c r="K92" s="10" t="s">
        <v>98</v>
      </c>
      <c r="L92" s="10" t="s">
        <v>99</v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4.5" spans="1:25">
      <c r="A93" s="10" t="s">
        <v>275</v>
      </c>
      <c r="B93" s="10" t="s">
        <v>80</v>
      </c>
      <c r="C93" s="10" t="s">
        <v>276</v>
      </c>
      <c r="D93" s="10">
        <v>16000</v>
      </c>
      <c r="E93" s="10">
        <v>5000</v>
      </c>
      <c r="F93" s="10">
        <v>591</v>
      </c>
      <c r="G93" s="11">
        <v>8.46</v>
      </c>
      <c r="H93" s="10">
        <v>10</v>
      </c>
      <c r="I93" s="10">
        <v>9.3443</v>
      </c>
      <c r="J93" s="10">
        <v>2</v>
      </c>
      <c r="K93" s="10" t="s">
        <v>98</v>
      </c>
      <c r="L93" s="10" t="s">
        <v>102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4.5" spans="1:25">
      <c r="A94" s="10" t="s">
        <v>277</v>
      </c>
      <c r="B94" s="10" t="s">
        <v>80</v>
      </c>
      <c r="C94" s="10" t="s">
        <v>278</v>
      </c>
      <c r="D94" s="10">
        <v>120000</v>
      </c>
      <c r="E94" s="10">
        <v>500</v>
      </c>
      <c r="F94" s="10">
        <v>444</v>
      </c>
      <c r="G94" s="10">
        <v>1.126</v>
      </c>
      <c r="H94" s="10">
        <v>10</v>
      </c>
      <c r="I94" s="10">
        <v>9.3443</v>
      </c>
      <c r="J94" s="10">
        <v>3</v>
      </c>
      <c r="K94" s="10" t="s">
        <v>98</v>
      </c>
      <c r="L94" s="10" t="s">
        <v>99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4.5" spans="1:25">
      <c r="A95" s="10" t="s">
        <v>279</v>
      </c>
      <c r="B95" s="10" t="s">
        <v>81</v>
      </c>
      <c r="C95" s="10" t="s">
        <v>280</v>
      </c>
      <c r="D95" s="10">
        <v>2000</v>
      </c>
      <c r="E95" s="10">
        <v>50000</v>
      </c>
      <c r="F95" s="10">
        <v>739</v>
      </c>
      <c r="G95" s="10">
        <v>67.659</v>
      </c>
      <c r="H95" s="10">
        <v>10</v>
      </c>
      <c r="I95" s="10">
        <v>8.9882</v>
      </c>
      <c r="J95" s="10">
        <v>1</v>
      </c>
      <c r="K95" s="10" t="s">
        <v>98</v>
      </c>
      <c r="L95" s="10" t="s">
        <v>99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4.5" spans="1:25">
      <c r="A96" s="10" t="s">
        <v>281</v>
      </c>
      <c r="B96" s="10" t="s">
        <v>81</v>
      </c>
      <c r="C96" s="10" t="s">
        <v>282</v>
      </c>
      <c r="D96" s="10">
        <v>16000</v>
      </c>
      <c r="E96" s="10">
        <v>5000</v>
      </c>
      <c r="F96" s="10">
        <v>591</v>
      </c>
      <c r="G96" s="11">
        <v>8.46</v>
      </c>
      <c r="H96" s="10">
        <v>10</v>
      </c>
      <c r="I96" s="10">
        <v>8.9882</v>
      </c>
      <c r="J96" s="10">
        <v>2</v>
      </c>
      <c r="K96" s="10" t="s">
        <v>98</v>
      </c>
      <c r="L96" s="10" t="s">
        <v>102</v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4.5" spans="1:25">
      <c r="A97" s="10" t="s">
        <v>283</v>
      </c>
      <c r="B97" s="10" t="s">
        <v>81</v>
      </c>
      <c r="C97" s="10" t="s">
        <v>284</v>
      </c>
      <c r="D97" s="10">
        <v>120000</v>
      </c>
      <c r="E97" s="10">
        <v>500</v>
      </c>
      <c r="F97" s="10">
        <v>444</v>
      </c>
      <c r="G97" s="10">
        <v>1.126</v>
      </c>
      <c r="H97" s="10">
        <v>10</v>
      </c>
      <c r="I97" s="10">
        <v>8.9882</v>
      </c>
      <c r="J97" s="10">
        <v>3</v>
      </c>
      <c r="K97" s="10" t="s">
        <v>98</v>
      </c>
      <c r="L97" s="10" t="s">
        <v>99</v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>
      <c r="A98" s="5"/>
      <c r="B98" s="5"/>
      <c r="C98" s="5"/>
      <c r="D98" s="5"/>
      <c r="E98" s="5"/>
      <c r="F98" s="5"/>
      <c r="G98" s="7" t="str">
        <f>IFERROR(E98/F98,"")</f>
        <v/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>
      <c r="A99" s="5"/>
      <c r="B99" s="5"/>
      <c r="C99" s="5"/>
      <c r="D99" s="5"/>
      <c r="E99" s="5"/>
      <c r="F99" s="5"/>
      <c r="G99" s="7" t="str">
        <f>IFERROR(E99/F99,"")</f>
        <v/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>
      <c r="A100" s="5"/>
      <c r="B100" s="5"/>
      <c r="C100" s="5"/>
      <c r="D100" s="5"/>
      <c r="E100" s="5"/>
      <c r="F100" s="5"/>
      <c r="G100" s="7" t="str">
        <f>IFERROR(E100/F100,"")</f>
        <v/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</sheetData>
  <mergeCells count="2">
    <mergeCell ref="A1:L1"/>
    <mergeCell ref="A2:L2"/>
  </mergeCells>
  <dataValidations count="2">
    <dataValidation type="list" sqref="K98:K100">
      <formula1>"合格,模糊,污染,标尺不清,不用于分析"</formula1>
    </dataValidation>
    <dataValidation type="list" sqref="L98:L100">
      <formula1>"是,否"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20"/>
  <sheetViews>
    <sheetView workbookViewId="0">
      <selection activeCell="A5" sqref="A5:O100"/>
    </sheetView>
  </sheetViews>
  <sheetFormatPr defaultColWidth="9" defaultRowHeight="14"/>
  <cols>
    <col min="1" max="1" width="18" customWidth="1"/>
    <col min="2" max="3" width="14" customWidth="1"/>
    <col min="4" max="4" width="12" customWidth="1"/>
    <col min="5" max="5" width="20" customWidth="1"/>
    <col min="6" max="7" width="14" customWidth="1"/>
    <col min="8" max="9" width="16" customWidth="1"/>
    <col min="10" max="12" width="12" customWidth="1"/>
    <col min="13" max="13" width="14" customWidth="1"/>
    <col min="14" max="14" width="12" customWidth="1"/>
    <col min="15" max="15" width="28" customWidth="1"/>
  </cols>
  <sheetData>
    <row r="1" ht="30" customHeight="1" spans="1:26">
      <c r="A1" s="1" t="s">
        <v>285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4" customHeight="1" spans="1:26">
      <c r="A2" s="3" t="s">
        <v>286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6" customHeight="1" spans="1:26">
      <c r="A4" s="4" t="s">
        <v>85</v>
      </c>
      <c r="B4" s="4" t="s">
        <v>36</v>
      </c>
      <c r="C4" s="4" t="s">
        <v>287</v>
      </c>
      <c r="D4" s="4" t="s">
        <v>288</v>
      </c>
      <c r="E4" s="4" t="s">
        <v>289</v>
      </c>
      <c r="F4" s="4" t="s">
        <v>290</v>
      </c>
      <c r="G4" s="4" t="s">
        <v>291</v>
      </c>
      <c r="H4" s="4" t="s">
        <v>292</v>
      </c>
      <c r="I4" s="4" t="s">
        <v>293</v>
      </c>
      <c r="J4" s="4" t="s">
        <v>294</v>
      </c>
      <c r="K4" s="4" t="s">
        <v>295</v>
      </c>
      <c r="L4" s="4" t="s">
        <v>296</v>
      </c>
      <c r="M4" s="4" t="s">
        <v>297</v>
      </c>
      <c r="N4" s="4" t="s">
        <v>298</v>
      </c>
      <c r="O4" s="4" t="s">
        <v>299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5"/>
      <c r="B5" s="5"/>
      <c r="C5" s="5"/>
      <c r="D5" s="5"/>
      <c r="E5" s="5"/>
      <c r="F5" s="5"/>
      <c r="G5" s="7"/>
      <c r="H5" s="2"/>
      <c r="I5" s="7"/>
      <c r="J5" s="2"/>
      <c r="K5" s="2"/>
      <c r="L5" s="7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5"/>
      <c r="B6" s="5"/>
      <c r="C6" s="5"/>
      <c r="D6" s="5"/>
      <c r="E6" s="5"/>
      <c r="F6" s="5"/>
      <c r="G6" s="7"/>
      <c r="H6" s="2"/>
      <c r="I6" s="7"/>
      <c r="J6" s="2"/>
      <c r="K6" s="2"/>
      <c r="L6" s="7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5"/>
      <c r="B7" s="5"/>
      <c r="C7" s="5"/>
      <c r="D7" s="5"/>
      <c r="E7" s="5"/>
      <c r="F7" s="5"/>
      <c r="G7" s="7"/>
      <c r="H7" s="2"/>
      <c r="I7" s="7"/>
      <c r="J7" s="2"/>
      <c r="K7" s="2"/>
      <c r="L7" s="7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5"/>
      <c r="B8" s="5"/>
      <c r="C8" s="5"/>
      <c r="D8" s="5"/>
      <c r="E8" s="5"/>
      <c r="F8" s="5"/>
      <c r="G8" s="7"/>
      <c r="H8" s="2"/>
      <c r="I8" s="7"/>
      <c r="J8" s="2"/>
      <c r="K8" s="2"/>
      <c r="L8" s="7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5"/>
      <c r="B9" s="5"/>
      <c r="C9" s="5"/>
      <c r="D9" s="5"/>
      <c r="E9" s="5"/>
      <c r="F9" s="5"/>
      <c r="G9" s="7"/>
      <c r="H9" s="2"/>
      <c r="I9" s="7"/>
      <c r="J9" s="2"/>
      <c r="K9" s="2"/>
      <c r="L9" s="7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5"/>
      <c r="B10" s="5"/>
      <c r="C10" s="5"/>
      <c r="D10" s="5"/>
      <c r="E10" s="5"/>
      <c r="F10" s="5"/>
      <c r="G10" s="7"/>
      <c r="H10" s="2"/>
      <c r="I10" s="7"/>
      <c r="J10" s="2"/>
      <c r="K10" s="2"/>
      <c r="L10" s="7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5"/>
      <c r="B11" s="5"/>
      <c r="C11" s="5"/>
      <c r="D11" s="5"/>
      <c r="E11" s="5"/>
      <c r="F11" s="5"/>
      <c r="G11" s="7"/>
      <c r="H11" s="2"/>
      <c r="I11" s="7"/>
      <c r="J11" s="2"/>
      <c r="K11" s="2"/>
      <c r="L11" s="7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5"/>
      <c r="B12" s="5"/>
      <c r="C12" s="5"/>
      <c r="D12" s="5"/>
      <c r="E12" s="5"/>
      <c r="F12" s="5"/>
      <c r="G12" s="7"/>
      <c r="H12" s="2"/>
      <c r="I12" s="7"/>
      <c r="J12" s="2"/>
      <c r="K12" s="2"/>
      <c r="L12" s="7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5"/>
      <c r="B13" s="5"/>
      <c r="C13" s="5"/>
      <c r="D13" s="5"/>
      <c r="E13" s="5"/>
      <c r="F13" s="5"/>
      <c r="G13" s="7"/>
      <c r="H13" s="2"/>
      <c r="I13" s="7"/>
      <c r="J13" s="2"/>
      <c r="K13" s="2"/>
      <c r="L13" s="7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5"/>
      <c r="B14" s="5"/>
      <c r="C14" s="5"/>
      <c r="D14" s="5"/>
      <c r="E14" s="5"/>
      <c r="F14" s="5"/>
      <c r="G14" s="7"/>
      <c r="H14" s="2"/>
      <c r="I14" s="7"/>
      <c r="J14" s="2"/>
      <c r="K14" s="2"/>
      <c r="L14" s="7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5"/>
      <c r="B15" s="5"/>
      <c r="C15" s="5"/>
      <c r="D15" s="5"/>
      <c r="E15" s="5"/>
      <c r="F15" s="5"/>
      <c r="G15" s="7"/>
      <c r="H15" s="2"/>
      <c r="I15" s="7"/>
      <c r="J15" s="2"/>
      <c r="K15" s="2"/>
      <c r="L15" s="7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5"/>
      <c r="B16" s="5"/>
      <c r="C16" s="5"/>
      <c r="D16" s="5"/>
      <c r="E16" s="5"/>
      <c r="F16" s="5"/>
      <c r="G16" s="7"/>
      <c r="H16" s="2"/>
      <c r="I16" s="7"/>
      <c r="J16" s="2"/>
      <c r="K16" s="2"/>
      <c r="L16" s="7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5"/>
      <c r="B17" s="5"/>
      <c r="C17" s="5"/>
      <c r="D17" s="5"/>
      <c r="E17" s="5"/>
      <c r="F17" s="5"/>
      <c r="G17" s="7"/>
      <c r="H17" s="2"/>
      <c r="I17" s="7"/>
      <c r="J17" s="2"/>
      <c r="K17" s="2"/>
      <c r="L17" s="7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5"/>
      <c r="B18" s="5"/>
      <c r="C18" s="5"/>
      <c r="D18" s="5"/>
      <c r="E18" s="5"/>
      <c r="F18" s="5"/>
      <c r="G18" s="7"/>
      <c r="H18" s="2"/>
      <c r="I18" s="7"/>
      <c r="J18" s="2"/>
      <c r="K18" s="2"/>
      <c r="L18" s="7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5"/>
      <c r="B19" s="5"/>
      <c r="C19" s="5"/>
      <c r="D19" s="5"/>
      <c r="E19" s="5"/>
      <c r="F19" s="5"/>
      <c r="G19" s="7"/>
      <c r="H19" s="2"/>
      <c r="I19" s="7"/>
      <c r="J19" s="2"/>
      <c r="K19" s="2"/>
      <c r="L19" s="7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5"/>
      <c r="B20" s="5"/>
      <c r="C20" s="5"/>
      <c r="D20" s="5"/>
      <c r="E20" s="5"/>
      <c r="F20" s="5"/>
      <c r="G20" s="7"/>
      <c r="H20" s="2"/>
      <c r="I20" s="7"/>
      <c r="J20" s="2"/>
      <c r="K20" s="2"/>
      <c r="L20" s="7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5"/>
      <c r="B21" s="5"/>
      <c r="C21" s="5"/>
      <c r="D21" s="5"/>
      <c r="E21" s="5"/>
      <c r="F21" s="5"/>
      <c r="G21" s="7"/>
      <c r="H21" s="2"/>
      <c r="I21" s="7"/>
      <c r="J21" s="2"/>
      <c r="K21" s="2"/>
      <c r="L21" s="7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5"/>
      <c r="B22" s="5"/>
      <c r="C22" s="5"/>
      <c r="D22" s="5"/>
      <c r="E22" s="5"/>
      <c r="F22" s="5"/>
      <c r="G22" s="7"/>
      <c r="H22" s="2"/>
      <c r="I22" s="7"/>
      <c r="J22" s="2"/>
      <c r="K22" s="2"/>
      <c r="L22" s="7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5"/>
      <c r="B23" s="5"/>
      <c r="C23" s="5"/>
      <c r="D23" s="5"/>
      <c r="E23" s="5"/>
      <c r="F23" s="5"/>
      <c r="G23" s="7"/>
      <c r="H23" s="2"/>
      <c r="I23" s="7"/>
      <c r="J23" s="2"/>
      <c r="K23" s="2"/>
      <c r="L23" s="7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5"/>
      <c r="B24" s="5"/>
      <c r="C24" s="5"/>
      <c r="D24" s="5"/>
      <c r="E24" s="5"/>
      <c r="F24" s="5"/>
      <c r="G24" s="7"/>
      <c r="H24" s="2"/>
      <c r="I24" s="7"/>
      <c r="J24" s="2"/>
      <c r="K24" s="2"/>
      <c r="L24" s="7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5"/>
      <c r="B25" s="5"/>
      <c r="C25" s="5"/>
      <c r="D25" s="5"/>
      <c r="E25" s="5"/>
      <c r="F25" s="5"/>
      <c r="G25" s="7"/>
      <c r="H25" s="2"/>
      <c r="I25" s="7"/>
      <c r="J25" s="2"/>
      <c r="K25" s="2"/>
      <c r="L25" s="7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5"/>
      <c r="B26" s="5"/>
      <c r="C26" s="5"/>
      <c r="D26" s="5"/>
      <c r="E26" s="5"/>
      <c r="F26" s="5"/>
      <c r="G26" s="7"/>
      <c r="H26" s="2"/>
      <c r="I26" s="7"/>
      <c r="J26" s="2"/>
      <c r="K26" s="2"/>
      <c r="L26" s="7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5"/>
      <c r="B27" s="5"/>
      <c r="C27" s="5"/>
      <c r="D27" s="5"/>
      <c r="E27" s="5"/>
      <c r="F27" s="5"/>
      <c r="G27" s="7"/>
      <c r="H27" s="2"/>
      <c r="I27" s="7"/>
      <c r="J27" s="2"/>
      <c r="K27" s="2"/>
      <c r="L27" s="7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5"/>
      <c r="B28" s="5"/>
      <c r="C28" s="5"/>
      <c r="D28" s="5"/>
      <c r="E28" s="5"/>
      <c r="F28" s="5"/>
      <c r="G28" s="7"/>
      <c r="H28" s="2"/>
      <c r="I28" s="7"/>
      <c r="J28" s="2"/>
      <c r="K28" s="2"/>
      <c r="L28" s="7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5"/>
      <c r="B29" s="5"/>
      <c r="C29" s="5"/>
      <c r="D29" s="5"/>
      <c r="E29" s="5"/>
      <c r="F29" s="5"/>
      <c r="G29" s="7"/>
      <c r="H29" s="2"/>
      <c r="I29" s="7"/>
      <c r="J29" s="2"/>
      <c r="K29" s="2"/>
      <c r="L29" s="7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5"/>
      <c r="B30" s="5"/>
      <c r="C30" s="5"/>
      <c r="D30" s="5"/>
      <c r="E30" s="5"/>
      <c r="F30" s="5"/>
      <c r="G30" s="7"/>
      <c r="H30" s="2"/>
      <c r="I30" s="7"/>
      <c r="J30" s="2"/>
      <c r="K30" s="2"/>
      <c r="L30" s="7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5"/>
      <c r="B31" s="5"/>
      <c r="C31" s="5"/>
      <c r="D31" s="5"/>
      <c r="E31" s="5"/>
      <c r="F31" s="5"/>
      <c r="G31" s="7"/>
      <c r="H31" s="2"/>
      <c r="I31" s="7"/>
      <c r="J31" s="2"/>
      <c r="K31" s="2"/>
      <c r="L31" s="7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5"/>
      <c r="B32" s="5"/>
      <c r="C32" s="5"/>
      <c r="D32" s="5"/>
      <c r="E32" s="5"/>
      <c r="F32" s="5"/>
      <c r="G32" s="7"/>
      <c r="H32" s="2"/>
      <c r="I32" s="7"/>
      <c r="J32" s="2"/>
      <c r="K32" s="2"/>
      <c r="L32" s="7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5"/>
      <c r="B33" s="5"/>
      <c r="C33" s="5"/>
      <c r="D33" s="5"/>
      <c r="E33" s="5"/>
      <c r="F33" s="5"/>
      <c r="G33" s="7"/>
      <c r="H33" s="2"/>
      <c r="I33" s="7"/>
      <c r="J33" s="2"/>
      <c r="K33" s="2"/>
      <c r="L33" s="7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5"/>
      <c r="B34" s="5"/>
      <c r="C34" s="5"/>
      <c r="D34" s="5"/>
      <c r="E34" s="5"/>
      <c r="F34" s="5"/>
      <c r="G34" s="7"/>
      <c r="H34" s="2"/>
      <c r="I34" s="7"/>
      <c r="J34" s="2"/>
      <c r="K34" s="2"/>
      <c r="L34" s="7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5"/>
      <c r="B35" s="5"/>
      <c r="C35" s="5"/>
      <c r="D35" s="5"/>
      <c r="E35" s="5"/>
      <c r="F35" s="5"/>
      <c r="G35" s="7"/>
      <c r="H35" s="2"/>
      <c r="I35" s="7"/>
      <c r="J35" s="2"/>
      <c r="K35" s="2"/>
      <c r="L35" s="7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5"/>
      <c r="B36" s="5"/>
      <c r="C36" s="5"/>
      <c r="D36" s="5"/>
      <c r="E36" s="5"/>
      <c r="F36" s="5"/>
      <c r="G36" s="7"/>
      <c r="H36" s="2"/>
      <c r="I36" s="7"/>
      <c r="J36" s="2"/>
      <c r="K36" s="2"/>
      <c r="L36" s="7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5"/>
      <c r="B37" s="5"/>
      <c r="C37" s="5"/>
      <c r="D37" s="5"/>
      <c r="E37" s="5"/>
      <c r="F37" s="5"/>
      <c r="G37" s="7"/>
      <c r="H37" s="2"/>
      <c r="I37" s="7"/>
      <c r="J37" s="2"/>
      <c r="K37" s="2"/>
      <c r="L37" s="7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5"/>
      <c r="B38" s="5"/>
      <c r="C38" s="5"/>
      <c r="D38" s="5"/>
      <c r="E38" s="5"/>
      <c r="F38" s="5"/>
      <c r="G38" s="7"/>
      <c r="H38" s="2"/>
      <c r="I38" s="7"/>
      <c r="J38" s="2"/>
      <c r="K38" s="2"/>
      <c r="L38" s="7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5"/>
      <c r="B39" s="5"/>
      <c r="C39" s="5"/>
      <c r="D39" s="5"/>
      <c r="E39" s="5"/>
      <c r="F39" s="5"/>
      <c r="G39" s="7"/>
      <c r="H39" s="2"/>
      <c r="I39" s="7"/>
      <c r="J39" s="2"/>
      <c r="K39" s="2"/>
      <c r="L39" s="7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5"/>
      <c r="B40" s="5"/>
      <c r="C40" s="5"/>
      <c r="D40" s="5"/>
      <c r="E40" s="5"/>
      <c r="F40" s="5"/>
      <c r="G40" s="7"/>
      <c r="H40" s="2"/>
      <c r="I40" s="7"/>
      <c r="J40" s="2"/>
      <c r="K40" s="2"/>
      <c r="L40" s="7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5"/>
      <c r="B41" s="5"/>
      <c r="C41" s="5"/>
      <c r="D41" s="5"/>
      <c r="E41" s="5"/>
      <c r="F41" s="5"/>
      <c r="G41" s="7"/>
      <c r="H41" s="2"/>
      <c r="I41" s="7"/>
      <c r="J41" s="2"/>
      <c r="K41" s="2"/>
      <c r="L41" s="7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5"/>
      <c r="B42" s="5"/>
      <c r="C42" s="5"/>
      <c r="D42" s="5"/>
      <c r="E42" s="5"/>
      <c r="F42" s="5"/>
      <c r="G42" s="7"/>
      <c r="H42" s="2"/>
      <c r="I42" s="7"/>
      <c r="J42" s="2"/>
      <c r="K42" s="2"/>
      <c r="L42" s="7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5"/>
      <c r="B43" s="5"/>
      <c r="C43" s="5"/>
      <c r="D43" s="5"/>
      <c r="E43" s="5"/>
      <c r="F43" s="5"/>
      <c r="G43" s="7"/>
      <c r="H43" s="2"/>
      <c r="I43" s="7"/>
      <c r="J43" s="2"/>
      <c r="K43" s="2"/>
      <c r="L43" s="7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5"/>
      <c r="B44" s="5"/>
      <c r="C44" s="5"/>
      <c r="D44" s="5"/>
      <c r="E44" s="5"/>
      <c r="F44" s="5"/>
      <c r="G44" s="7"/>
      <c r="H44" s="2"/>
      <c r="I44" s="7"/>
      <c r="J44" s="2"/>
      <c r="K44" s="2"/>
      <c r="L44" s="7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5"/>
      <c r="B45" s="5"/>
      <c r="C45" s="5"/>
      <c r="D45" s="5"/>
      <c r="E45" s="5"/>
      <c r="F45" s="5"/>
      <c r="G45" s="7"/>
      <c r="H45" s="2"/>
      <c r="I45" s="7"/>
      <c r="J45" s="2"/>
      <c r="K45" s="2"/>
      <c r="L45" s="7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5"/>
      <c r="B46" s="5"/>
      <c r="C46" s="5"/>
      <c r="D46" s="5"/>
      <c r="E46" s="5"/>
      <c r="F46" s="5"/>
      <c r="G46" s="7"/>
      <c r="H46" s="2"/>
      <c r="I46" s="7"/>
      <c r="J46" s="2"/>
      <c r="K46" s="2"/>
      <c r="L46" s="7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5"/>
      <c r="B47" s="5"/>
      <c r="C47" s="5"/>
      <c r="D47" s="5"/>
      <c r="E47" s="5"/>
      <c r="F47" s="5"/>
      <c r="G47" s="7"/>
      <c r="H47" s="2"/>
      <c r="I47" s="7"/>
      <c r="J47" s="2"/>
      <c r="K47" s="2"/>
      <c r="L47" s="7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5"/>
      <c r="B48" s="5"/>
      <c r="C48" s="5"/>
      <c r="D48" s="5"/>
      <c r="E48" s="5"/>
      <c r="F48" s="5"/>
      <c r="G48" s="7"/>
      <c r="H48" s="2"/>
      <c r="I48" s="7"/>
      <c r="J48" s="2"/>
      <c r="K48" s="2"/>
      <c r="L48" s="7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5"/>
      <c r="B49" s="5"/>
      <c r="C49" s="5"/>
      <c r="D49" s="5"/>
      <c r="E49" s="5"/>
      <c r="F49" s="5"/>
      <c r="G49" s="7"/>
      <c r="H49" s="2"/>
      <c r="I49" s="7"/>
      <c r="J49" s="2"/>
      <c r="K49" s="2"/>
      <c r="L49" s="7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5"/>
      <c r="B50" s="5"/>
      <c r="C50" s="5"/>
      <c r="D50" s="5"/>
      <c r="E50" s="5"/>
      <c r="F50" s="5"/>
      <c r="G50" s="7"/>
      <c r="H50" s="2"/>
      <c r="I50" s="7"/>
      <c r="J50" s="2"/>
      <c r="K50" s="2"/>
      <c r="L50" s="7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5"/>
      <c r="B51" s="5"/>
      <c r="C51" s="5"/>
      <c r="D51" s="5"/>
      <c r="E51" s="5"/>
      <c r="F51" s="5"/>
      <c r="G51" s="7"/>
      <c r="H51" s="2"/>
      <c r="I51" s="7"/>
      <c r="J51" s="2"/>
      <c r="K51" s="2"/>
      <c r="L51" s="7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5"/>
      <c r="B52" s="5"/>
      <c r="C52" s="5"/>
      <c r="D52" s="5"/>
      <c r="E52" s="5"/>
      <c r="F52" s="5"/>
      <c r="G52" s="7"/>
      <c r="H52" s="2"/>
      <c r="I52" s="7"/>
      <c r="J52" s="2"/>
      <c r="K52" s="2"/>
      <c r="L52" s="7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5"/>
      <c r="B53" s="5"/>
      <c r="C53" s="5"/>
      <c r="D53" s="5"/>
      <c r="E53" s="5"/>
      <c r="F53" s="5"/>
      <c r="G53" s="7"/>
      <c r="H53" s="2"/>
      <c r="I53" s="7"/>
      <c r="J53" s="2"/>
      <c r="K53" s="2"/>
      <c r="L53" s="7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5"/>
      <c r="B54" s="5"/>
      <c r="C54" s="5"/>
      <c r="D54" s="5"/>
      <c r="E54" s="5"/>
      <c r="F54" s="5"/>
      <c r="G54" s="7"/>
      <c r="H54" s="2"/>
      <c r="I54" s="7"/>
      <c r="J54" s="2"/>
      <c r="K54" s="2"/>
      <c r="L54" s="7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5"/>
      <c r="B55" s="5"/>
      <c r="C55" s="5"/>
      <c r="D55" s="5"/>
      <c r="E55" s="5"/>
      <c r="F55" s="5"/>
      <c r="G55" s="7"/>
      <c r="H55" s="2"/>
      <c r="I55" s="7"/>
      <c r="J55" s="2"/>
      <c r="K55" s="2"/>
      <c r="L55" s="7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5"/>
      <c r="B56" s="5"/>
      <c r="C56" s="5"/>
      <c r="D56" s="5"/>
      <c r="E56" s="5"/>
      <c r="F56" s="5"/>
      <c r="G56" s="7"/>
      <c r="H56" s="2"/>
      <c r="I56" s="7"/>
      <c r="J56" s="2"/>
      <c r="K56" s="2"/>
      <c r="L56" s="7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5"/>
      <c r="B57" s="5"/>
      <c r="C57" s="5"/>
      <c r="D57" s="5"/>
      <c r="E57" s="5"/>
      <c r="F57" s="5"/>
      <c r="G57" s="7"/>
      <c r="H57" s="2"/>
      <c r="I57" s="7"/>
      <c r="J57" s="2"/>
      <c r="K57" s="2"/>
      <c r="L57" s="7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5"/>
      <c r="B58" s="5"/>
      <c r="C58" s="5"/>
      <c r="D58" s="5"/>
      <c r="E58" s="5"/>
      <c r="F58" s="5"/>
      <c r="G58" s="7"/>
      <c r="H58" s="2"/>
      <c r="I58" s="7"/>
      <c r="J58" s="2"/>
      <c r="K58" s="2"/>
      <c r="L58" s="7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5"/>
      <c r="B59" s="5"/>
      <c r="C59" s="5"/>
      <c r="D59" s="5"/>
      <c r="E59" s="5"/>
      <c r="F59" s="5"/>
      <c r="G59" s="7"/>
      <c r="H59" s="2"/>
      <c r="I59" s="7"/>
      <c r="J59" s="2"/>
      <c r="K59" s="2"/>
      <c r="L59" s="7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5"/>
      <c r="B60" s="5"/>
      <c r="C60" s="5"/>
      <c r="D60" s="5"/>
      <c r="E60" s="5"/>
      <c r="F60" s="5"/>
      <c r="G60" s="7"/>
      <c r="H60" s="2"/>
      <c r="I60" s="7"/>
      <c r="J60" s="2"/>
      <c r="K60" s="2"/>
      <c r="L60" s="7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5"/>
      <c r="B61" s="5"/>
      <c r="C61" s="5"/>
      <c r="D61" s="5"/>
      <c r="E61" s="5"/>
      <c r="F61" s="5"/>
      <c r="G61" s="7"/>
      <c r="H61" s="2"/>
      <c r="I61" s="7"/>
      <c r="J61" s="2"/>
      <c r="K61" s="2"/>
      <c r="L61" s="7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5"/>
      <c r="B62" s="5"/>
      <c r="C62" s="5"/>
      <c r="D62" s="5"/>
      <c r="E62" s="5"/>
      <c r="F62" s="5"/>
      <c r="G62" s="7"/>
      <c r="H62" s="2"/>
      <c r="I62" s="7"/>
      <c r="J62" s="2"/>
      <c r="K62" s="2"/>
      <c r="L62" s="7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5"/>
      <c r="B63" s="5"/>
      <c r="C63" s="5"/>
      <c r="D63" s="5"/>
      <c r="E63" s="5"/>
      <c r="F63" s="5"/>
      <c r="G63" s="7"/>
      <c r="H63" s="2"/>
      <c r="I63" s="7"/>
      <c r="J63" s="2"/>
      <c r="K63" s="2"/>
      <c r="L63" s="7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5"/>
      <c r="B64" s="5"/>
      <c r="C64" s="5"/>
      <c r="D64" s="5"/>
      <c r="E64" s="5"/>
      <c r="F64" s="5"/>
      <c r="G64" s="7"/>
      <c r="H64" s="2"/>
      <c r="I64" s="7"/>
      <c r="J64" s="2"/>
      <c r="K64" s="2"/>
      <c r="L64" s="7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5"/>
      <c r="B65" s="5"/>
      <c r="C65" s="5"/>
      <c r="D65" s="5"/>
      <c r="E65" s="5"/>
      <c r="F65" s="5"/>
      <c r="G65" s="7"/>
      <c r="H65" s="2"/>
      <c r="I65" s="7"/>
      <c r="J65" s="2"/>
      <c r="K65" s="2"/>
      <c r="L65" s="7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5"/>
      <c r="B66" s="5"/>
      <c r="C66" s="5"/>
      <c r="D66" s="5"/>
      <c r="E66" s="5"/>
      <c r="F66" s="5"/>
      <c r="G66" s="7"/>
      <c r="H66" s="2"/>
      <c r="I66" s="7"/>
      <c r="J66" s="2"/>
      <c r="K66" s="2"/>
      <c r="L66" s="7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5"/>
      <c r="B67" s="5"/>
      <c r="C67" s="5"/>
      <c r="D67" s="5"/>
      <c r="E67" s="5"/>
      <c r="F67" s="5"/>
      <c r="G67" s="7"/>
      <c r="H67" s="2"/>
      <c r="I67" s="7"/>
      <c r="J67" s="2"/>
      <c r="K67" s="2"/>
      <c r="L67" s="7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5"/>
      <c r="B68" s="5"/>
      <c r="C68" s="5"/>
      <c r="D68" s="5"/>
      <c r="E68" s="5"/>
      <c r="F68" s="5"/>
      <c r="G68" s="7"/>
      <c r="H68" s="2"/>
      <c r="I68" s="7"/>
      <c r="J68" s="2"/>
      <c r="K68" s="2"/>
      <c r="L68" s="7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5"/>
      <c r="B69" s="5"/>
      <c r="C69" s="5"/>
      <c r="D69" s="5"/>
      <c r="E69" s="5"/>
      <c r="F69" s="5"/>
      <c r="G69" s="7"/>
      <c r="H69" s="2"/>
      <c r="I69" s="7"/>
      <c r="J69" s="2"/>
      <c r="K69" s="2"/>
      <c r="L69" s="7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5"/>
      <c r="B70" s="5"/>
      <c r="C70" s="5"/>
      <c r="D70" s="5"/>
      <c r="E70" s="5"/>
      <c r="F70" s="5"/>
      <c r="G70" s="7"/>
      <c r="H70" s="2"/>
      <c r="I70" s="7"/>
      <c r="J70" s="2"/>
      <c r="K70" s="2"/>
      <c r="L70" s="7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5"/>
      <c r="B71" s="5"/>
      <c r="C71" s="5"/>
      <c r="D71" s="5"/>
      <c r="E71" s="5"/>
      <c r="F71" s="5"/>
      <c r="G71" s="7"/>
      <c r="H71" s="2"/>
      <c r="I71" s="7"/>
      <c r="J71" s="2"/>
      <c r="K71" s="2"/>
      <c r="L71" s="7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5"/>
      <c r="B72" s="5"/>
      <c r="C72" s="5"/>
      <c r="D72" s="5"/>
      <c r="E72" s="5"/>
      <c r="F72" s="5"/>
      <c r="G72" s="7"/>
      <c r="H72" s="2"/>
      <c r="I72" s="7"/>
      <c r="J72" s="2"/>
      <c r="K72" s="2"/>
      <c r="L72" s="7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5"/>
      <c r="B73" s="5"/>
      <c r="C73" s="5"/>
      <c r="D73" s="5"/>
      <c r="E73" s="5"/>
      <c r="F73" s="5"/>
      <c r="G73" s="7"/>
      <c r="H73" s="2"/>
      <c r="I73" s="7"/>
      <c r="J73" s="2"/>
      <c r="K73" s="2"/>
      <c r="L73" s="7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5"/>
      <c r="B74" s="5"/>
      <c r="C74" s="5"/>
      <c r="D74" s="5"/>
      <c r="E74" s="5"/>
      <c r="F74" s="5"/>
      <c r="G74" s="7"/>
      <c r="H74" s="2"/>
      <c r="I74" s="7"/>
      <c r="J74" s="2"/>
      <c r="K74" s="2"/>
      <c r="L74" s="7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5"/>
      <c r="B75" s="5"/>
      <c r="C75" s="5"/>
      <c r="D75" s="5"/>
      <c r="E75" s="5"/>
      <c r="F75" s="5"/>
      <c r="G75" s="7"/>
      <c r="H75" s="2"/>
      <c r="I75" s="7"/>
      <c r="J75" s="2"/>
      <c r="K75" s="2"/>
      <c r="L75" s="7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5"/>
      <c r="B76" s="5"/>
      <c r="C76" s="5"/>
      <c r="D76" s="5"/>
      <c r="E76" s="5"/>
      <c r="F76" s="5"/>
      <c r="G76" s="7"/>
      <c r="H76" s="2"/>
      <c r="I76" s="7"/>
      <c r="J76" s="2"/>
      <c r="K76" s="2"/>
      <c r="L76" s="7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5"/>
      <c r="B77" s="5"/>
      <c r="C77" s="5"/>
      <c r="D77" s="5"/>
      <c r="E77" s="5"/>
      <c r="F77" s="5"/>
      <c r="G77" s="7"/>
      <c r="H77" s="2"/>
      <c r="I77" s="7"/>
      <c r="J77" s="2"/>
      <c r="K77" s="2"/>
      <c r="L77" s="7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5"/>
      <c r="B78" s="5"/>
      <c r="C78" s="5"/>
      <c r="D78" s="5"/>
      <c r="E78" s="5"/>
      <c r="F78" s="5"/>
      <c r="G78" s="7"/>
      <c r="H78" s="2"/>
      <c r="I78" s="7"/>
      <c r="J78" s="2"/>
      <c r="K78" s="2"/>
      <c r="L78" s="7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5"/>
      <c r="B79" s="5"/>
      <c r="C79" s="5"/>
      <c r="D79" s="5"/>
      <c r="E79" s="5"/>
      <c r="F79" s="5"/>
      <c r="G79" s="7"/>
      <c r="H79" s="2"/>
      <c r="I79" s="7"/>
      <c r="J79" s="2"/>
      <c r="K79" s="2"/>
      <c r="L79" s="7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5"/>
      <c r="B80" s="5"/>
      <c r="C80" s="5"/>
      <c r="D80" s="5"/>
      <c r="E80" s="5"/>
      <c r="F80" s="5"/>
      <c r="G80" s="7"/>
      <c r="H80" s="2"/>
      <c r="I80" s="7"/>
      <c r="J80" s="2"/>
      <c r="K80" s="2"/>
      <c r="L80" s="7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5"/>
      <c r="B81" s="5"/>
      <c r="C81" s="5"/>
      <c r="D81" s="5"/>
      <c r="E81" s="5"/>
      <c r="F81" s="5"/>
      <c r="G81" s="7"/>
      <c r="H81" s="2"/>
      <c r="I81" s="7"/>
      <c r="J81" s="2"/>
      <c r="K81" s="2"/>
      <c r="L81" s="7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5"/>
      <c r="B82" s="5"/>
      <c r="C82" s="5"/>
      <c r="D82" s="5"/>
      <c r="E82" s="5"/>
      <c r="F82" s="5"/>
      <c r="G82" s="7"/>
      <c r="H82" s="2"/>
      <c r="I82" s="7"/>
      <c r="J82" s="2"/>
      <c r="K82" s="2"/>
      <c r="L82" s="7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5"/>
      <c r="B83" s="5"/>
      <c r="C83" s="5"/>
      <c r="D83" s="5"/>
      <c r="E83" s="5"/>
      <c r="F83" s="5"/>
      <c r="G83" s="7"/>
      <c r="H83" s="2"/>
      <c r="I83" s="7"/>
      <c r="J83" s="2"/>
      <c r="K83" s="2"/>
      <c r="L83" s="7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5"/>
      <c r="B84" s="5"/>
      <c r="C84" s="5"/>
      <c r="D84" s="5"/>
      <c r="E84" s="5"/>
      <c r="F84" s="5"/>
      <c r="G84" s="7"/>
      <c r="H84" s="2"/>
      <c r="I84" s="7"/>
      <c r="J84" s="2"/>
      <c r="K84" s="2"/>
      <c r="L84" s="7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5"/>
      <c r="B85" s="5"/>
      <c r="C85" s="5"/>
      <c r="D85" s="5"/>
      <c r="E85" s="5"/>
      <c r="F85" s="5"/>
      <c r="G85" s="7"/>
      <c r="H85" s="2"/>
      <c r="I85" s="7"/>
      <c r="J85" s="2"/>
      <c r="K85" s="2"/>
      <c r="L85" s="7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5"/>
      <c r="B86" s="5"/>
      <c r="C86" s="5"/>
      <c r="D86" s="5"/>
      <c r="E86" s="5"/>
      <c r="F86" s="5"/>
      <c r="G86" s="7"/>
      <c r="H86" s="2"/>
      <c r="I86" s="7"/>
      <c r="J86" s="2"/>
      <c r="K86" s="2"/>
      <c r="L86" s="7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5"/>
      <c r="B87" s="5"/>
      <c r="C87" s="5"/>
      <c r="D87" s="5"/>
      <c r="E87" s="5"/>
      <c r="F87" s="5"/>
      <c r="G87" s="7"/>
      <c r="H87" s="2"/>
      <c r="I87" s="7"/>
      <c r="J87" s="2"/>
      <c r="K87" s="2"/>
      <c r="L87" s="7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5"/>
      <c r="B88" s="5"/>
      <c r="C88" s="5"/>
      <c r="D88" s="5"/>
      <c r="E88" s="5"/>
      <c r="F88" s="5"/>
      <c r="G88" s="7"/>
      <c r="H88" s="2"/>
      <c r="I88" s="7"/>
      <c r="J88" s="2"/>
      <c r="K88" s="2"/>
      <c r="L88" s="7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5"/>
      <c r="B89" s="5"/>
      <c r="C89" s="5"/>
      <c r="D89" s="5"/>
      <c r="E89" s="5"/>
      <c r="F89" s="5"/>
      <c r="G89" s="7"/>
      <c r="H89" s="2"/>
      <c r="I89" s="7"/>
      <c r="J89" s="2"/>
      <c r="K89" s="2"/>
      <c r="L89" s="7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5"/>
      <c r="B90" s="5"/>
      <c r="C90" s="5"/>
      <c r="D90" s="5"/>
      <c r="E90" s="5"/>
      <c r="F90" s="5"/>
      <c r="G90" s="7"/>
      <c r="H90" s="2"/>
      <c r="I90" s="7"/>
      <c r="J90" s="2"/>
      <c r="K90" s="2"/>
      <c r="L90" s="7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5"/>
      <c r="B91" s="5"/>
      <c r="C91" s="5"/>
      <c r="D91" s="5"/>
      <c r="E91" s="5"/>
      <c r="F91" s="5"/>
      <c r="G91" s="7"/>
      <c r="H91" s="2"/>
      <c r="I91" s="7"/>
      <c r="J91" s="2"/>
      <c r="K91" s="2"/>
      <c r="L91" s="7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5"/>
      <c r="B92" s="5"/>
      <c r="C92" s="5"/>
      <c r="D92" s="5"/>
      <c r="E92" s="5"/>
      <c r="F92" s="5"/>
      <c r="G92" s="7"/>
      <c r="H92" s="2"/>
      <c r="I92" s="7"/>
      <c r="J92" s="2"/>
      <c r="K92" s="2"/>
      <c r="L92" s="7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5"/>
      <c r="B93" s="5"/>
      <c r="C93" s="5"/>
      <c r="D93" s="5"/>
      <c r="E93" s="5"/>
      <c r="F93" s="5"/>
      <c r="G93" s="7"/>
      <c r="H93" s="2"/>
      <c r="I93" s="7"/>
      <c r="J93" s="2"/>
      <c r="K93" s="2"/>
      <c r="L93" s="7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5"/>
      <c r="B94" s="5"/>
      <c r="C94" s="5"/>
      <c r="D94" s="5"/>
      <c r="E94" s="5"/>
      <c r="F94" s="5"/>
      <c r="G94" s="7"/>
      <c r="H94" s="2"/>
      <c r="I94" s="7"/>
      <c r="J94" s="2"/>
      <c r="K94" s="2"/>
      <c r="L94" s="7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5"/>
      <c r="B95" s="5"/>
      <c r="C95" s="5"/>
      <c r="D95" s="5"/>
      <c r="E95" s="5"/>
      <c r="F95" s="5"/>
      <c r="G95" s="7"/>
      <c r="H95" s="2"/>
      <c r="I95" s="7"/>
      <c r="J95" s="2"/>
      <c r="K95" s="2"/>
      <c r="L95" s="7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5"/>
      <c r="B96" s="5"/>
      <c r="C96" s="5"/>
      <c r="D96" s="5"/>
      <c r="E96" s="5"/>
      <c r="F96" s="5"/>
      <c r="G96" s="7"/>
      <c r="H96" s="2"/>
      <c r="I96" s="7"/>
      <c r="J96" s="2"/>
      <c r="K96" s="2"/>
      <c r="L96" s="7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5"/>
      <c r="B97" s="5"/>
      <c r="C97" s="5"/>
      <c r="D97" s="5"/>
      <c r="E97" s="5"/>
      <c r="F97" s="5"/>
      <c r="G97" s="7"/>
      <c r="H97" s="2"/>
      <c r="I97" s="7"/>
      <c r="J97" s="2"/>
      <c r="K97" s="2"/>
      <c r="L97" s="7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5"/>
      <c r="B98" s="5"/>
      <c r="C98" s="5"/>
      <c r="D98" s="5"/>
      <c r="E98" s="5"/>
      <c r="F98" s="5"/>
      <c r="G98" s="7"/>
      <c r="H98" s="2"/>
      <c r="I98" s="7"/>
      <c r="J98" s="2"/>
      <c r="K98" s="2"/>
      <c r="L98" s="7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5"/>
      <c r="B99" s="5"/>
      <c r="C99" s="5"/>
      <c r="D99" s="5"/>
      <c r="E99" s="5"/>
      <c r="F99" s="5"/>
      <c r="G99" s="7"/>
      <c r="H99" s="2"/>
      <c r="I99" s="7"/>
      <c r="J99" s="2"/>
      <c r="K99" s="2"/>
      <c r="L99" s="7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5"/>
      <c r="B100" s="5"/>
      <c r="C100" s="5"/>
      <c r="D100" s="5"/>
      <c r="E100" s="5"/>
      <c r="F100" s="5"/>
      <c r="G100" s="7"/>
      <c r="H100" s="2"/>
      <c r="I100" s="7"/>
      <c r="J100" s="2"/>
      <c r="K100" s="2"/>
      <c r="L100" s="7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</sheetData>
  <mergeCells count="2">
    <mergeCell ref="A1:O1"/>
    <mergeCell ref="A2:O2"/>
  </mergeCells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20"/>
  <sheetViews>
    <sheetView workbookViewId="0">
      <selection activeCell="D20" sqref="A5:Q34"/>
    </sheetView>
  </sheetViews>
  <sheetFormatPr defaultColWidth="9" defaultRowHeight="14"/>
  <cols>
    <col min="1" max="1" width="14" customWidth="1"/>
    <col min="2" max="2" width="12" customWidth="1"/>
    <col min="3" max="3" width="16" customWidth="1"/>
    <col min="4" max="6" width="14" customWidth="1"/>
    <col min="7" max="8" width="16" customWidth="1"/>
    <col min="9" max="10" width="14" customWidth="1"/>
    <col min="11" max="12" width="16" customWidth="1"/>
    <col min="13" max="14" width="18" customWidth="1"/>
    <col min="15" max="16" width="14" customWidth="1"/>
    <col min="17" max="17" width="24" customWidth="1"/>
  </cols>
  <sheetData>
    <row r="1" ht="30" customHeight="1" spans="1:26">
      <c r="A1" s="1" t="s">
        <v>300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4" customHeight="1" spans="1:26">
      <c r="A2" s="3" t="s">
        <v>301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6" customHeight="1" spans="1:26">
      <c r="A4" s="4" t="s">
        <v>36</v>
      </c>
      <c r="B4" s="4" t="s">
        <v>302</v>
      </c>
      <c r="C4" s="4" t="s">
        <v>303</v>
      </c>
      <c r="D4" s="4" t="s">
        <v>304</v>
      </c>
      <c r="E4" s="4" t="s">
        <v>305</v>
      </c>
      <c r="F4" s="4" t="s">
        <v>306</v>
      </c>
      <c r="G4" s="4" t="s">
        <v>291</v>
      </c>
      <c r="H4" s="4" t="s">
        <v>293</v>
      </c>
      <c r="I4" s="4" t="s">
        <v>307</v>
      </c>
      <c r="J4" s="4" t="s">
        <v>308</v>
      </c>
      <c r="K4" s="4" t="s">
        <v>309</v>
      </c>
      <c r="L4" s="4" t="s">
        <v>310</v>
      </c>
      <c r="M4" s="4" t="s">
        <v>311</v>
      </c>
      <c r="N4" s="4" t="s">
        <v>312</v>
      </c>
      <c r="O4" s="4" t="s">
        <v>313</v>
      </c>
      <c r="P4" s="4" t="s">
        <v>314</v>
      </c>
      <c r="Q4" s="4" t="s">
        <v>299</v>
      </c>
      <c r="R4" s="2"/>
      <c r="S4" s="2"/>
      <c r="T4" s="2"/>
      <c r="U4" s="2"/>
      <c r="V4" s="2"/>
      <c r="W4" s="2"/>
      <c r="X4" s="2"/>
      <c r="Y4" s="2"/>
      <c r="Z4" s="2"/>
    </row>
    <row r="5" spans="1:26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2"/>
      <c r="S5" s="2"/>
      <c r="T5" s="2"/>
      <c r="U5" s="2"/>
      <c r="V5" s="2"/>
      <c r="W5" s="2"/>
      <c r="X5" s="2"/>
      <c r="Y5" s="2"/>
      <c r="Z5" s="2"/>
    </row>
    <row r="6" spans="1:2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2"/>
      <c r="S6" s="2"/>
      <c r="T6" s="2"/>
      <c r="U6" s="2"/>
      <c r="V6" s="2"/>
      <c r="W6" s="2"/>
      <c r="X6" s="2"/>
      <c r="Y6" s="2"/>
      <c r="Z6" s="2"/>
    </row>
    <row r="7" spans="1:26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2"/>
      <c r="S7" s="2"/>
      <c r="T7" s="2"/>
      <c r="U7" s="2"/>
      <c r="V7" s="2"/>
      <c r="W7" s="2"/>
      <c r="X7" s="2"/>
      <c r="Y7" s="2"/>
      <c r="Z7" s="2"/>
    </row>
    <row r="8" spans="1:26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2"/>
      <c r="S8" s="2"/>
      <c r="T8" s="2"/>
      <c r="U8" s="2"/>
      <c r="V8" s="2"/>
      <c r="W8" s="2"/>
      <c r="X8" s="2"/>
      <c r="Y8" s="2"/>
      <c r="Z8" s="2"/>
    </row>
    <row r="9" spans="1:26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</sheetData>
  <mergeCells count="2">
    <mergeCell ref="A1:Q1"/>
    <mergeCell ref="A2:Q2"/>
  </mergeCells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20"/>
  <sheetViews>
    <sheetView workbookViewId="0">
      <selection activeCell="E20" sqref="A5:O100"/>
    </sheetView>
  </sheetViews>
  <sheetFormatPr defaultColWidth="9" defaultRowHeight="14"/>
  <cols>
    <col min="1" max="1" width="14" customWidth="1"/>
    <col min="2" max="2" width="18" customWidth="1"/>
    <col min="3" max="4" width="14" customWidth="1"/>
    <col min="5" max="5" width="18" customWidth="1"/>
    <col min="6" max="8" width="14" customWidth="1"/>
    <col min="9" max="9" width="12" customWidth="1"/>
    <col min="10" max="14" width="14" customWidth="1"/>
    <col min="15" max="15" width="28" customWidth="1"/>
  </cols>
  <sheetData>
    <row r="1" ht="30" customHeight="1" spans="1:26">
      <c r="A1" s="1" t="s">
        <v>315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4" customHeight="1" spans="1:26">
      <c r="A2" s="3" t="s">
        <v>316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6" customHeight="1" spans="1:26">
      <c r="A4" s="4" t="s">
        <v>36</v>
      </c>
      <c r="B4" s="4" t="s">
        <v>317</v>
      </c>
      <c r="C4" s="4" t="s">
        <v>318</v>
      </c>
      <c r="D4" s="4" t="s">
        <v>319</v>
      </c>
      <c r="E4" s="4" t="s">
        <v>320</v>
      </c>
      <c r="F4" s="4" t="s">
        <v>321</v>
      </c>
      <c r="G4" s="4" t="s">
        <v>322</v>
      </c>
      <c r="H4" s="4" t="s">
        <v>323</v>
      </c>
      <c r="I4" s="4" t="s">
        <v>324</v>
      </c>
      <c r="J4" s="4" t="s">
        <v>325</v>
      </c>
      <c r="K4" s="4" t="s">
        <v>326</v>
      </c>
      <c r="L4" s="4" t="s">
        <v>327</v>
      </c>
      <c r="M4" s="4" t="s">
        <v>328</v>
      </c>
      <c r="N4" s="4" t="s">
        <v>95</v>
      </c>
      <c r="O4" s="4" t="s">
        <v>299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5"/>
      <c r="B5" s="5"/>
      <c r="C5" s="6"/>
      <c r="D5" s="5"/>
      <c r="E5" s="5"/>
      <c r="F5" s="5"/>
      <c r="G5" s="5"/>
      <c r="H5" s="8"/>
      <c r="I5" s="8"/>
      <c r="J5" s="8"/>
      <c r="K5" s="8"/>
      <c r="L5" s="8"/>
      <c r="M5" s="8"/>
      <c r="N5" s="8"/>
      <c r="O5" s="8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5"/>
      <c r="B6" s="5"/>
      <c r="C6" s="6"/>
      <c r="D6" s="5"/>
      <c r="E6" s="5"/>
      <c r="F6" s="5"/>
      <c r="G6" s="5"/>
      <c r="H6" s="8"/>
      <c r="I6" s="8"/>
      <c r="J6" s="8"/>
      <c r="K6" s="8"/>
      <c r="L6" s="8"/>
      <c r="M6" s="8"/>
      <c r="N6" s="8"/>
      <c r="O6" s="8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5"/>
      <c r="B7" s="5"/>
      <c r="C7" s="6"/>
      <c r="D7" s="5"/>
      <c r="E7" s="5"/>
      <c r="F7" s="5"/>
      <c r="G7" s="5"/>
      <c r="H7" s="8"/>
      <c r="I7" s="8"/>
      <c r="J7" s="8"/>
      <c r="K7" s="8"/>
      <c r="L7" s="8"/>
      <c r="M7" s="8"/>
      <c r="N7" s="8"/>
      <c r="O7" s="8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5"/>
      <c r="B8" s="5"/>
      <c r="C8" s="6"/>
      <c r="D8" s="5"/>
      <c r="E8" s="5"/>
      <c r="F8" s="5"/>
      <c r="G8" s="5"/>
      <c r="H8" s="8"/>
      <c r="I8" s="8"/>
      <c r="J8" s="8"/>
      <c r="K8" s="8"/>
      <c r="L8" s="8"/>
      <c r="M8" s="8"/>
      <c r="N8" s="8"/>
      <c r="O8" s="8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5"/>
      <c r="B9" s="5"/>
      <c r="C9" s="6"/>
      <c r="D9" s="5"/>
      <c r="E9" s="5"/>
      <c r="F9" s="5"/>
      <c r="G9" s="5"/>
      <c r="H9" s="8"/>
      <c r="I9" s="8"/>
      <c r="J9" s="8"/>
      <c r="K9" s="8"/>
      <c r="L9" s="8"/>
      <c r="M9" s="8"/>
      <c r="N9" s="8"/>
      <c r="O9" s="8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5"/>
      <c r="B10" s="5"/>
      <c r="C10" s="6"/>
      <c r="D10" s="5"/>
      <c r="E10" s="5"/>
      <c r="F10" s="5"/>
      <c r="G10" s="5"/>
      <c r="H10" s="8"/>
      <c r="I10" s="8"/>
      <c r="J10" s="8"/>
      <c r="K10" s="8"/>
      <c r="L10" s="8"/>
      <c r="M10" s="8"/>
      <c r="N10" s="8"/>
      <c r="O10" s="8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5"/>
      <c r="B11" s="5"/>
      <c r="C11" s="6"/>
      <c r="D11" s="5"/>
      <c r="E11" s="5"/>
      <c r="F11" s="5"/>
      <c r="G11" s="5"/>
      <c r="H11" s="8"/>
      <c r="I11" s="8"/>
      <c r="J11" s="8"/>
      <c r="K11" s="8"/>
      <c r="L11" s="8"/>
      <c r="M11" s="8"/>
      <c r="N11" s="8"/>
      <c r="O11" s="8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5"/>
      <c r="B12" s="5"/>
      <c r="C12" s="6"/>
      <c r="D12" s="5"/>
      <c r="E12" s="5"/>
      <c r="F12" s="5"/>
      <c r="G12" s="5"/>
      <c r="H12" s="8"/>
      <c r="I12" s="8"/>
      <c r="J12" s="8"/>
      <c r="K12" s="8"/>
      <c r="L12" s="8"/>
      <c r="M12" s="8"/>
      <c r="N12" s="8"/>
      <c r="O12" s="8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5"/>
      <c r="B13" s="5"/>
      <c r="C13" s="6"/>
      <c r="D13" s="5"/>
      <c r="E13" s="5"/>
      <c r="F13" s="5"/>
      <c r="G13" s="5"/>
      <c r="H13" s="8"/>
      <c r="I13" s="8"/>
      <c r="J13" s="8"/>
      <c r="K13" s="8"/>
      <c r="L13" s="8"/>
      <c r="M13" s="8"/>
      <c r="N13" s="8"/>
      <c r="O13" s="8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5"/>
      <c r="B14" s="5"/>
      <c r="C14" s="6"/>
      <c r="D14" s="5"/>
      <c r="E14" s="5"/>
      <c r="F14" s="5"/>
      <c r="G14" s="5"/>
      <c r="H14" s="8"/>
      <c r="I14" s="8"/>
      <c r="J14" s="8"/>
      <c r="K14" s="8"/>
      <c r="L14" s="8"/>
      <c r="M14" s="8"/>
      <c r="N14" s="8"/>
      <c r="O14" s="8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5"/>
      <c r="B15" s="5"/>
      <c r="C15" s="6"/>
      <c r="D15" s="5"/>
      <c r="E15" s="5"/>
      <c r="F15" s="5"/>
      <c r="G15" s="5"/>
      <c r="H15" s="8"/>
      <c r="I15" s="8"/>
      <c r="J15" s="8"/>
      <c r="K15" s="8"/>
      <c r="L15" s="8"/>
      <c r="M15" s="8"/>
      <c r="N15" s="8"/>
      <c r="O15" s="8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5"/>
      <c r="B16" s="5"/>
      <c r="C16" s="6"/>
      <c r="D16" s="5"/>
      <c r="E16" s="5"/>
      <c r="F16" s="5"/>
      <c r="G16" s="5"/>
      <c r="H16" s="8"/>
      <c r="I16" s="8"/>
      <c r="J16" s="8"/>
      <c r="K16" s="8"/>
      <c r="L16" s="8"/>
      <c r="M16" s="8"/>
      <c r="N16" s="8"/>
      <c r="O16" s="8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5"/>
      <c r="B17" s="5"/>
      <c r="C17" s="6"/>
      <c r="D17" s="5"/>
      <c r="E17" s="5"/>
      <c r="F17" s="5"/>
      <c r="G17" s="5"/>
      <c r="H17" s="8"/>
      <c r="I17" s="8"/>
      <c r="J17" s="8"/>
      <c r="K17" s="8"/>
      <c r="L17" s="8"/>
      <c r="M17" s="8"/>
      <c r="N17" s="8"/>
      <c r="O17" s="8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5"/>
      <c r="B18" s="5"/>
      <c r="C18" s="6"/>
      <c r="D18" s="5"/>
      <c r="E18" s="5"/>
      <c r="F18" s="5"/>
      <c r="G18" s="5"/>
      <c r="H18" s="8"/>
      <c r="I18" s="8"/>
      <c r="J18" s="8"/>
      <c r="K18" s="8"/>
      <c r="L18" s="8"/>
      <c r="M18" s="8"/>
      <c r="N18" s="8"/>
      <c r="O18" s="8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5"/>
      <c r="B19" s="5"/>
      <c r="C19" s="6"/>
      <c r="D19" s="5"/>
      <c r="E19" s="5"/>
      <c r="F19" s="5"/>
      <c r="G19" s="5"/>
      <c r="H19" s="8"/>
      <c r="I19" s="8"/>
      <c r="J19" s="8"/>
      <c r="K19" s="8"/>
      <c r="L19" s="8"/>
      <c r="M19" s="8"/>
      <c r="N19" s="8"/>
      <c r="O19" s="8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5"/>
      <c r="B20" s="5"/>
      <c r="C20" s="6"/>
      <c r="D20" s="5"/>
      <c r="E20" s="5"/>
      <c r="F20" s="5"/>
      <c r="G20" s="5"/>
      <c r="H20" s="8"/>
      <c r="I20" s="8"/>
      <c r="J20" s="8"/>
      <c r="K20" s="8"/>
      <c r="L20" s="8"/>
      <c r="M20" s="8"/>
      <c r="N20" s="8"/>
      <c r="O20" s="8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5"/>
      <c r="B21" s="5"/>
      <c r="C21" s="6"/>
      <c r="D21" s="5"/>
      <c r="E21" s="5"/>
      <c r="F21" s="5"/>
      <c r="G21" s="5"/>
      <c r="H21" s="8"/>
      <c r="I21" s="8"/>
      <c r="J21" s="8"/>
      <c r="K21" s="8"/>
      <c r="L21" s="8"/>
      <c r="M21" s="8"/>
      <c r="N21" s="8"/>
      <c r="O21" s="8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5"/>
      <c r="B22" s="5"/>
      <c r="C22" s="6"/>
      <c r="D22" s="5"/>
      <c r="E22" s="5"/>
      <c r="F22" s="5"/>
      <c r="G22" s="5"/>
      <c r="H22" s="8"/>
      <c r="I22" s="8"/>
      <c r="J22" s="8"/>
      <c r="K22" s="8"/>
      <c r="L22" s="8"/>
      <c r="M22" s="8"/>
      <c r="N22" s="8"/>
      <c r="O22" s="8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5"/>
      <c r="B23" s="5"/>
      <c r="C23" s="6"/>
      <c r="D23" s="5"/>
      <c r="E23" s="5"/>
      <c r="F23" s="5"/>
      <c r="G23" s="5"/>
      <c r="H23" s="8"/>
      <c r="I23" s="8"/>
      <c r="J23" s="8"/>
      <c r="K23" s="8"/>
      <c r="L23" s="8"/>
      <c r="M23" s="8"/>
      <c r="N23" s="8"/>
      <c r="O23" s="8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5"/>
      <c r="B24" s="5"/>
      <c r="C24" s="6"/>
      <c r="D24" s="5"/>
      <c r="E24" s="5"/>
      <c r="F24" s="5"/>
      <c r="G24" s="5"/>
      <c r="H24" s="8"/>
      <c r="I24" s="8"/>
      <c r="J24" s="8"/>
      <c r="K24" s="8"/>
      <c r="L24" s="8"/>
      <c r="M24" s="8"/>
      <c r="N24" s="8"/>
      <c r="O24" s="8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5"/>
      <c r="B25" s="5"/>
      <c r="C25" s="6"/>
      <c r="D25" s="5"/>
      <c r="E25" s="5"/>
      <c r="F25" s="5"/>
      <c r="G25" s="5"/>
      <c r="H25" s="8"/>
      <c r="I25" s="8"/>
      <c r="J25" s="8"/>
      <c r="K25" s="8"/>
      <c r="L25" s="8"/>
      <c r="M25" s="8"/>
      <c r="N25" s="8"/>
      <c r="O25" s="8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5"/>
      <c r="B26" s="5"/>
      <c r="C26" s="6"/>
      <c r="D26" s="5"/>
      <c r="E26" s="5"/>
      <c r="F26" s="5"/>
      <c r="G26" s="5"/>
      <c r="H26" s="8"/>
      <c r="I26" s="8"/>
      <c r="J26" s="8"/>
      <c r="K26" s="8"/>
      <c r="L26" s="8"/>
      <c r="M26" s="8"/>
      <c r="N26" s="8"/>
      <c r="O26" s="8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5"/>
      <c r="B27" s="5"/>
      <c r="C27" s="6"/>
      <c r="D27" s="5"/>
      <c r="E27" s="5"/>
      <c r="F27" s="5"/>
      <c r="G27" s="5"/>
      <c r="H27" s="8"/>
      <c r="I27" s="8"/>
      <c r="J27" s="8"/>
      <c r="K27" s="8"/>
      <c r="L27" s="8"/>
      <c r="M27" s="8"/>
      <c r="N27" s="8"/>
      <c r="O27" s="8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5"/>
      <c r="B28" s="5"/>
      <c r="C28" s="6"/>
      <c r="D28" s="5"/>
      <c r="E28" s="5"/>
      <c r="F28" s="5"/>
      <c r="G28" s="5"/>
      <c r="H28" s="8"/>
      <c r="I28" s="8"/>
      <c r="J28" s="8"/>
      <c r="K28" s="8"/>
      <c r="L28" s="8"/>
      <c r="M28" s="8"/>
      <c r="N28" s="8"/>
      <c r="O28" s="8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5"/>
      <c r="B29" s="5"/>
      <c r="C29" s="6"/>
      <c r="D29" s="5"/>
      <c r="E29" s="5"/>
      <c r="F29" s="5"/>
      <c r="G29" s="5"/>
      <c r="H29" s="8"/>
      <c r="I29" s="8"/>
      <c r="J29" s="8"/>
      <c r="K29" s="8"/>
      <c r="L29" s="8"/>
      <c r="M29" s="8"/>
      <c r="N29" s="8"/>
      <c r="O29" s="8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5"/>
      <c r="B30" s="5"/>
      <c r="C30" s="6"/>
      <c r="D30" s="5"/>
      <c r="E30" s="5"/>
      <c r="F30" s="5"/>
      <c r="G30" s="5"/>
      <c r="H30" s="8"/>
      <c r="I30" s="8"/>
      <c r="J30" s="8"/>
      <c r="K30" s="8"/>
      <c r="L30" s="8"/>
      <c r="M30" s="8"/>
      <c r="N30" s="8"/>
      <c r="O30" s="8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5"/>
      <c r="B31" s="5"/>
      <c r="C31" s="6"/>
      <c r="D31" s="5"/>
      <c r="E31" s="5"/>
      <c r="F31" s="5"/>
      <c r="G31" s="5"/>
      <c r="H31" s="8"/>
      <c r="I31" s="8"/>
      <c r="J31" s="8"/>
      <c r="K31" s="8"/>
      <c r="L31" s="8"/>
      <c r="M31" s="8"/>
      <c r="N31" s="8"/>
      <c r="O31" s="8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5"/>
      <c r="B32" s="5"/>
      <c r="C32" s="6"/>
      <c r="D32" s="5"/>
      <c r="E32" s="5"/>
      <c r="F32" s="5"/>
      <c r="G32" s="5"/>
      <c r="H32" s="8"/>
      <c r="I32" s="8"/>
      <c r="J32" s="8"/>
      <c r="K32" s="8"/>
      <c r="L32" s="8"/>
      <c r="M32" s="8"/>
      <c r="N32" s="8"/>
      <c r="O32" s="8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5"/>
      <c r="B33" s="5"/>
      <c r="C33" s="6"/>
      <c r="D33" s="5"/>
      <c r="E33" s="5"/>
      <c r="F33" s="5"/>
      <c r="G33" s="5"/>
      <c r="H33" s="8"/>
      <c r="I33" s="8"/>
      <c r="J33" s="8"/>
      <c r="K33" s="8"/>
      <c r="L33" s="8"/>
      <c r="M33" s="8"/>
      <c r="N33" s="8"/>
      <c r="O33" s="8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5"/>
      <c r="B34" s="5"/>
      <c r="C34" s="6"/>
      <c r="D34" s="5"/>
      <c r="E34" s="5"/>
      <c r="F34" s="5"/>
      <c r="G34" s="5"/>
      <c r="H34" s="8"/>
      <c r="I34" s="8"/>
      <c r="J34" s="8"/>
      <c r="K34" s="8"/>
      <c r="L34" s="8"/>
      <c r="M34" s="8"/>
      <c r="N34" s="8"/>
      <c r="O34" s="8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5"/>
      <c r="B35" s="5"/>
      <c r="C35" s="6"/>
      <c r="D35" s="5"/>
      <c r="E35" s="5"/>
      <c r="F35" s="5"/>
      <c r="G35" s="5"/>
      <c r="H35" s="8"/>
      <c r="I35" s="8"/>
      <c r="J35" s="8"/>
      <c r="K35" s="8"/>
      <c r="L35" s="8"/>
      <c r="M35" s="8"/>
      <c r="N35" s="8"/>
      <c r="O35" s="8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5"/>
      <c r="B36" s="5"/>
      <c r="C36" s="6"/>
      <c r="D36" s="5"/>
      <c r="E36" s="5"/>
      <c r="F36" s="5"/>
      <c r="G36" s="5"/>
      <c r="H36" s="8"/>
      <c r="I36" s="8"/>
      <c r="J36" s="8"/>
      <c r="K36" s="8"/>
      <c r="L36" s="8"/>
      <c r="M36" s="8"/>
      <c r="N36" s="8"/>
      <c r="O36" s="8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5"/>
      <c r="B37" s="5"/>
      <c r="C37" s="6"/>
      <c r="D37" s="5"/>
      <c r="E37" s="5"/>
      <c r="F37" s="5"/>
      <c r="G37" s="5"/>
      <c r="H37" s="8"/>
      <c r="I37" s="8"/>
      <c r="J37" s="8"/>
      <c r="K37" s="8"/>
      <c r="L37" s="8"/>
      <c r="M37" s="8"/>
      <c r="N37" s="8"/>
      <c r="O37" s="8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5"/>
      <c r="B38" s="5"/>
      <c r="C38" s="6"/>
      <c r="D38" s="5"/>
      <c r="E38" s="5"/>
      <c r="F38" s="5"/>
      <c r="G38" s="5"/>
      <c r="H38" s="8"/>
      <c r="I38" s="8"/>
      <c r="J38" s="8"/>
      <c r="K38" s="8"/>
      <c r="L38" s="8"/>
      <c r="M38" s="8"/>
      <c r="N38" s="8"/>
      <c r="O38" s="8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5"/>
      <c r="B39" s="5"/>
      <c r="C39" s="6"/>
      <c r="D39" s="5"/>
      <c r="E39" s="5"/>
      <c r="F39" s="5"/>
      <c r="G39" s="5"/>
      <c r="H39" s="8"/>
      <c r="I39" s="8"/>
      <c r="J39" s="8"/>
      <c r="K39" s="8"/>
      <c r="L39" s="8"/>
      <c r="M39" s="8"/>
      <c r="N39" s="8"/>
      <c r="O39" s="8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5"/>
      <c r="B40" s="5"/>
      <c r="C40" s="6"/>
      <c r="D40" s="5"/>
      <c r="E40" s="5"/>
      <c r="F40" s="5"/>
      <c r="G40" s="5"/>
      <c r="H40" s="8"/>
      <c r="I40" s="8"/>
      <c r="J40" s="8"/>
      <c r="K40" s="8"/>
      <c r="L40" s="8"/>
      <c r="M40" s="8"/>
      <c r="N40" s="8"/>
      <c r="O40" s="8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5"/>
      <c r="B41" s="5"/>
      <c r="C41" s="6"/>
      <c r="D41" s="5"/>
      <c r="E41" s="5"/>
      <c r="F41" s="5"/>
      <c r="G41" s="5"/>
      <c r="H41" s="8"/>
      <c r="I41" s="8"/>
      <c r="J41" s="8"/>
      <c r="K41" s="8"/>
      <c r="L41" s="8"/>
      <c r="M41" s="8"/>
      <c r="N41" s="8"/>
      <c r="O41" s="8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5"/>
      <c r="B42" s="5"/>
      <c r="C42" s="6"/>
      <c r="D42" s="5"/>
      <c r="E42" s="5"/>
      <c r="F42" s="5"/>
      <c r="G42" s="5"/>
      <c r="H42" s="8"/>
      <c r="I42" s="8"/>
      <c r="J42" s="8"/>
      <c r="K42" s="8"/>
      <c r="L42" s="8"/>
      <c r="M42" s="8"/>
      <c r="N42" s="8"/>
      <c r="O42" s="8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5"/>
      <c r="B43" s="5"/>
      <c r="C43" s="6"/>
      <c r="D43" s="5"/>
      <c r="E43" s="5"/>
      <c r="F43" s="5"/>
      <c r="G43" s="5"/>
      <c r="H43" s="8"/>
      <c r="I43" s="8"/>
      <c r="J43" s="8"/>
      <c r="K43" s="8"/>
      <c r="L43" s="8"/>
      <c r="M43" s="8"/>
      <c r="N43" s="8"/>
      <c r="O43" s="8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5"/>
      <c r="B44" s="5"/>
      <c r="C44" s="6"/>
      <c r="D44" s="5"/>
      <c r="E44" s="5"/>
      <c r="F44" s="5"/>
      <c r="G44" s="5"/>
      <c r="H44" s="8"/>
      <c r="I44" s="8"/>
      <c r="J44" s="8"/>
      <c r="K44" s="8"/>
      <c r="L44" s="8"/>
      <c r="M44" s="8"/>
      <c r="N44" s="8"/>
      <c r="O44" s="8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5"/>
      <c r="B45" s="5"/>
      <c r="C45" s="6"/>
      <c r="D45" s="5"/>
      <c r="E45" s="5"/>
      <c r="F45" s="5"/>
      <c r="G45" s="5"/>
      <c r="H45" s="8"/>
      <c r="I45" s="8"/>
      <c r="J45" s="8"/>
      <c r="K45" s="8"/>
      <c r="L45" s="8"/>
      <c r="M45" s="8"/>
      <c r="N45" s="8"/>
      <c r="O45" s="8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5"/>
      <c r="B46" s="5"/>
      <c r="C46" s="6"/>
      <c r="D46" s="5"/>
      <c r="E46" s="5"/>
      <c r="F46" s="5"/>
      <c r="G46" s="5"/>
      <c r="H46" s="8"/>
      <c r="I46" s="8"/>
      <c r="J46" s="8"/>
      <c r="K46" s="8"/>
      <c r="L46" s="8"/>
      <c r="M46" s="8"/>
      <c r="N46" s="8"/>
      <c r="O46" s="8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5"/>
      <c r="B47" s="5"/>
      <c r="C47" s="6"/>
      <c r="D47" s="5"/>
      <c r="E47" s="5"/>
      <c r="F47" s="5"/>
      <c r="G47" s="5"/>
      <c r="H47" s="8"/>
      <c r="I47" s="8"/>
      <c r="J47" s="8"/>
      <c r="K47" s="8"/>
      <c r="L47" s="8"/>
      <c r="M47" s="8"/>
      <c r="N47" s="8"/>
      <c r="O47" s="8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5"/>
      <c r="B48" s="5"/>
      <c r="C48" s="6"/>
      <c r="D48" s="5"/>
      <c r="E48" s="5"/>
      <c r="F48" s="5"/>
      <c r="G48" s="5"/>
      <c r="H48" s="8"/>
      <c r="I48" s="8"/>
      <c r="J48" s="8"/>
      <c r="K48" s="8"/>
      <c r="L48" s="8"/>
      <c r="M48" s="8"/>
      <c r="N48" s="8"/>
      <c r="O48" s="8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5"/>
      <c r="B49" s="5"/>
      <c r="C49" s="6"/>
      <c r="D49" s="5"/>
      <c r="E49" s="5"/>
      <c r="F49" s="5"/>
      <c r="G49" s="5"/>
      <c r="H49" s="8"/>
      <c r="I49" s="8"/>
      <c r="J49" s="8"/>
      <c r="K49" s="8"/>
      <c r="L49" s="8"/>
      <c r="M49" s="8"/>
      <c r="N49" s="8"/>
      <c r="O49" s="8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5"/>
      <c r="B50" s="5"/>
      <c r="C50" s="6"/>
      <c r="D50" s="5"/>
      <c r="E50" s="5"/>
      <c r="F50" s="5"/>
      <c r="G50" s="5"/>
      <c r="H50" s="8"/>
      <c r="I50" s="8"/>
      <c r="J50" s="8"/>
      <c r="K50" s="8"/>
      <c r="L50" s="8"/>
      <c r="M50" s="8"/>
      <c r="N50" s="8"/>
      <c r="O50" s="8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5"/>
      <c r="B51" s="5"/>
      <c r="C51" s="6"/>
      <c r="D51" s="5"/>
      <c r="E51" s="5"/>
      <c r="F51" s="5"/>
      <c r="G51" s="5"/>
      <c r="H51" s="8"/>
      <c r="I51" s="8"/>
      <c r="J51" s="8"/>
      <c r="K51" s="8"/>
      <c r="L51" s="8"/>
      <c r="M51" s="8"/>
      <c r="N51" s="8"/>
      <c r="O51" s="8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5"/>
      <c r="B52" s="5"/>
      <c r="C52" s="6"/>
      <c r="D52" s="5"/>
      <c r="E52" s="5"/>
      <c r="F52" s="5"/>
      <c r="G52" s="5"/>
      <c r="H52" s="8"/>
      <c r="I52" s="8"/>
      <c r="J52" s="8"/>
      <c r="K52" s="8"/>
      <c r="L52" s="8"/>
      <c r="M52" s="8"/>
      <c r="N52" s="8"/>
      <c r="O52" s="8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5"/>
      <c r="B53" s="5"/>
      <c r="C53" s="6"/>
      <c r="D53" s="5"/>
      <c r="E53" s="5"/>
      <c r="F53" s="5"/>
      <c r="G53" s="5"/>
      <c r="H53" s="8"/>
      <c r="I53" s="8"/>
      <c r="J53" s="8"/>
      <c r="K53" s="8"/>
      <c r="L53" s="8"/>
      <c r="M53" s="8"/>
      <c r="N53" s="8"/>
      <c r="O53" s="8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5"/>
      <c r="B54" s="5"/>
      <c r="C54" s="6"/>
      <c r="D54" s="5"/>
      <c r="E54" s="5"/>
      <c r="F54" s="5"/>
      <c r="G54" s="5"/>
      <c r="H54" s="8"/>
      <c r="I54" s="8"/>
      <c r="J54" s="8"/>
      <c r="K54" s="8"/>
      <c r="L54" s="8"/>
      <c r="M54" s="8"/>
      <c r="N54" s="8"/>
      <c r="O54" s="8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5"/>
      <c r="B55" s="5"/>
      <c r="C55" s="6"/>
      <c r="D55" s="5"/>
      <c r="E55" s="5"/>
      <c r="F55" s="5"/>
      <c r="G55" s="5"/>
      <c r="H55" s="8"/>
      <c r="I55" s="8"/>
      <c r="J55" s="8"/>
      <c r="K55" s="8"/>
      <c r="L55" s="8"/>
      <c r="M55" s="8"/>
      <c r="N55" s="8"/>
      <c r="O55" s="8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5"/>
      <c r="B56" s="5"/>
      <c r="C56" s="6"/>
      <c r="D56" s="5"/>
      <c r="E56" s="5"/>
      <c r="F56" s="5"/>
      <c r="G56" s="5"/>
      <c r="H56" s="8"/>
      <c r="I56" s="8"/>
      <c r="J56" s="8"/>
      <c r="K56" s="8"/>
      <c r="L56" s="8"/>
      <c r="M56" s="8"/>
      <c r="N56" s="8"/>
      <c r="O56" s="8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5"/>
      <c r="B57" s="5"/>
      <c r="C57" s="6"/>
      <c r="D57" s="5"/>
      <c r="E57" s="5"/>
      <c r="F57" s="5"/>
      <c r="G57" s="5"/>
      <c r="H57" s="8"/>
      <c r="I57" s="8"/>
      <c r="J57" s="8"/>
      <c r="K57" s="8"/>
      <c r="L57" s="8"/>
      <c r="M57" s="8"/>
      <c r="N57" s="8"/>
      <c r="O57" s="8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5"/>
      <c r="B58" s="5"/>
      <c r="C58" s="6"/>
      <c r="D58" s="5"/>
      <c r="E58" s="5"/>
      <c r="F58" s="5"/>
      <c r="G58" s="5"/>
      <c r="H58" s="8"/>
      <c r="I58" s="8"/>
      <c r="J58" s="8"/>
      <c r="K58" s="8"/>
      <c r="L58" s="8"/>
      <c r="M58" s="8"/>
      <c r="N58" s="8"/>
      <c r="O58" s="8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5"/>
      <c r="B59" s="5"/>
      <c r="C59" s="6"/>
      <c r="D59" s="5"/>
      <c r="E59" s="5"/>
      <c r="F59" s="5"/>
      <c r="G59" s="5"/>
      <c r="H59" s="8"/>
      <c r="I59" s="8"/>
      <c r="J59" s="8"/>
      <c r="K59" s="8"/>
      <c r="L59" s="8"/>
      <c r="M59" s="8"/>
      <c r="N59" s="8"/>
      <c r="O59" s="8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5"/>
      <c r="B60" s="5"/>
      <c r="C60" s="6"/>
      <c r="D60" s="5"/>
      <c r="E60" s="5"/>
      <c r="F60" s="5"/>
      <c r="G60" s="5"/>
      <c r="H60" s="8"/>
      <c r="I60" s="8"/>
      <c r="J60" s="8"/>
      <c r="K60" s="8"/>
      <c r="L60" s="8"/>
      <c r="M60" s="8"/>
      <c r="N60" s="8"/>
      <c r="O60" s="8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5"/>
      <c r="B61" s="5"/>
      <c r="C61" s="6"/>
      <c r="D61" s="5"/>
      <c r="E61" s="5"/>
      <c r="F61" s="5"/>
      <c r="G61" s="5"/>
      <c r="H61" s="8"/>
      <c r="I61" s="8"/>
      <c r="J61" s="8"/>
      <c r="K61" s="8"/>
      <c r="L61" s="8"/>
      <c r="M61" s="8"/>
      <c r="N61" s="8"/>
      <c r="O61" s="8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5"/>
      <c r="B62" s="5"/>
      <c r="C62" s="6"/>
      <c r="D62" s="5"/>
      <c r="E62" s="5"/>
      <c r="F62" s="5"/>
      <c r="G62" s="5"/>
      <c r="H62" s="8"/>
      <c r="I62" s="8"/>
      <c r="J62" s="8"/>
      <c r="K62" s="8"/>
      <c r="L62" s="8"/>
      <c r="M62" s="8"/>
      <c r="N62" s="8"/>
      <c r="O62" s="8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5"/>
      <c r="B63" s="5"/>
      <c r="C63" s="6"/>
      <c r="D63" s="5"/>
      <c r="E63" s="5"/>
      <c r="F63" s="5"/>
      <c r="G63" s="5"/>
      <c r="H63" s="8"/>
      <c r="I63" s="8"/>
      <c r="J63" s="8"/>
      <c r="K63" s="8"/>
      <c r="L63" s="8"/>
      <c r="M63" s="8"/>
      <c r="N63" s="8"/>
      <c r="O63" s="8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5"/>
      <c r="B64" s="5"/>
      <c r="C64" s="6"/>
      <c r="D64" s="5"/>
      <c r="E64" s="5"/>
      <c r="F64" s="5"/>
      <c r="G64" s="5"/>
      <c r="H64" s="8"/>
      <c r="I64" s="8"/>
      <c r="J64" s="8"/>
      <c r="K64" s="8"/>
      <c r="L64" s="8"/>
      <c r="M64" s="8"/>
      <c r="N64" s="8"/>
      <c r="O64" s="8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5"/>
      <c r="B65" s="5"/>
      <c r="C65" s="6"/>
      <c r="D65" s="5"/>
      <c r="E65" s="5"/>
      <c r="F65" s="5"/>
      <c r="G65" s="5"/>
      <c r="H65" s="8"/>
      <c r="I65" s="8"/>
      <c r="J65" s="8"/>
      <c r="K65" s="8"/>
      <c r="L65" s="8"/>
      <c r="M65" s="8"/>
      <c r="N65" s="8"/>
      <c r="O65" s="8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5"/>
      <c r="B66" s="5"/>
      <c r="C66" s="6"/>
      <c r="D66" s="5"/>
      <c r="E66" s="5"/>
      <c r="F66" s="5"/>
      <c r="G66" s="5"/>
      <c r="H66" s="8"/>
      <c r="I66" s="8"/>
      <c r="J66" s="8"/>
      <c r="K66" s="8"/>
      <c r="L66" s="8"/>
      <c r="M66" s="8"/>
      <c r="N66" s="8"/>
      <c r="O66" s="8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5"/>
      <c r="B67" s="5"/>
      <c r="C67" s="6"/>
      <c r="D67" s="5"/>
      <c r="E67" s="5"/>
      <c r="F67" s="5"/>
      <c r="G67" s="5"/>
      <c r="H67" s="8"/>
      <c r="I67" s="8"/>
      <c r="J67" s="8"/>
      <c r="K67" s="8"/>
      <c r="L67" s="8"/>
      <c r="M67" s="8"/>
      <c r="N67" s="8"/>
      <c r="O67" s="8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5"/>
      <c r="B68" s="5"/>
      <c r="C68" s="6"/>
      <c r="D68" s="5"/>
      <c r="E68" s="5"/>
      <c r="F68" s="5"/>
      <c r="G68" s="5"/>
      <c r="H68" s="8"/>
      <c r="I68" s="8"/>
      <c r="J68" s="8"/>
      <c r="K68" s="8"/>
      <c r="L68" s="8"/>
      <c r="M68" s="8"/>
      <c r="N68" s="8"/>
      <c r="O68" s="8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5"/>
      <c r="B69" s="5"/>
      <c r="C69" s="6"/>
      <c r="D69" s="5"/>
      <c r="E69" s="5"/>
      <c r="F69" s="5"/>
      <c r="G69" s="5"/>
      <c r="H69" s="8"/>
      <c r="I69" s="8"/>
      <c r="J69" s="8"/>
      <c r="K69" s="8"/>
      <c r="L69" s="8"/>
      <c r="M69" s="8"/>
      <c r="N69" s="8"/>
      <c r="O69" s="8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5"/>
      <c r="B70" s="5"/>
      <c r="C70" s="6"/>
      <c r="D70" s="5"/>
      <c r="E70" s="5"/>
      <c r="F70" s="5"/>
      <c r="G70" s="5"/>
      <c r="H70" s="8"/>
      <c r="I70" s="8"/>
      <c r="J70" s="8"/>
      <c r="K70" s="8"/>
      <c r="L70" s="8"/>
      <c r="M70" s="8"/>
      <c r="N70" s="8"/>
      <c r="O70" s="8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5"/>
      <c r="B71" s="5"/>
      <c r="C71" s="6"/>
      <c r="D71" s="5"/>
      <c r="E71" s="5"/>
      <c r="F71" s="5"/>
      <c r="G71" s="5"/>
      <c r="H71" s="8"/>
      <c r="I71" s="8"/>
      <c r="J71" s="8"/>
      <c r="K71" s="8"/>
      <c r="L71" s="8"/>
      <c r="M71" s="8"/>
      <c r="N71" s="8"/>
      <c r="O71" s="8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5"/>
      <c r="B72" s="5"/>
      <c r="C72" s="6"/>
      <c r="D72" s="5"/>
      <c r="E72" s="5"/>
      <c r="F72" s="5"/>
      <c r="G72" s="5"/>
      <c r="H72" s="8"/>
      <c r="I72" s="8"/>
      <c r="J72" s="8"/>
      <c r="K72" s="8"/>
      <c r="L72" s="8"/>
      <c r="M72" s="8"/>
      <c r="N72" s="8"/>
      <c r="O72" s="8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5"/>
      <c r="B73" s="5"/>
      <c r="C73" s="6"/>
      <c r="D73" s="5"/>
      <c r="E73" s="5"/>
      <c r="F73" s="5"/>
      <c r="G73" s="5"/>
      <c r="H73" s="8"/>
      <c r="I73" s="8"/>
      <c r="J73" s="8"/>
      <c r="K73" s="8"/>
      <c r="L73" s="8"/>
      <c r="M73" s="8"/>
      <c r="N73" s="8"/>
      <c r="O73" s="8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5"/>
      <c r="B74" s="5"/>
      <c r="C74" s="6"/>
      <c r="D74" s="5"/>
      <c r="E74" s="5"/>
      <c r="F74" s="5"/>
      <c r="G74" s="5"/>
      <c r="H74" s="8"/>
      <c r="I74" s="8"/>
      <c r="J74" s="8"/>
      <c r="K74" s="8"/>
      <c r="L74" s="8"/>
      <c r="M74" s="8"/>
      <c r="N74" s="8"/>
      <c r="O74" s="8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5"/>
      <c r="B75" s="5"/>
      <c r="C75" s="6"/>
      <c r="D75" s="5"/>
      <c r="E75" s="5"/>
      <c r="F75" s="5"/>
      <c r="G75" s="5"/>
      <c r="H75" s="8"/>
      <c r="I75" s="8"/>
      <c r="J75" s="8"/>
      <c r="K75" s="8"/>
      <c r="L75" s="8"/>
      <c r="M75" s="8"/>
      <c r="N75" s="8"/>
      <c r="O75" s="8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5"/>
      <c r="B76" s="5"/>
      <c r="C76" s="6"/>
      <c r="D76" s="5"/>
      <c r="E76" s="5"/>
      <c r="F76" s="5"/>
      <c r="G76" s="5"/>
      <c r="H76" s="8"/>
      <c r="I76" s="8"/>
      <c r="J76" s="8"/>
      <c r="K76" s="8"/>
      <c r="L76" s="8"/>
      <c r="M76" s="8"/>
      <c r="N76" s="8"/>
      <c r="O76" s="8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5"/>
      <c r="B77" s="5"/>
      <c r="C77" s="6"/>
      <c r="D77" s="5"/>
      <c r="E77" s="5"/>
      <c r="F77" s="5"/>
      <c r="G77" s="5"/>
      <c r="H77" s="8"/>
      <c r="I77" s="8"/>
      <c r="J77" s="8"/>
      <c r="K77" s="8"/>
      <c r="L77" s="8"/>
      <c r="M77" s="8"/>
      <c r="N77" s="8"/>
      <c r="O77" s="8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5"/>
      <c r="B78" s="5"/>
      <c r="C78" s="6"/>
      <c r="D78" s="5"/>
      <c r="E78" s="5"/>
      <c r="F78" s="5"/>
      <c r="G78" s="5"/>
      <c r="H78" s="8"/>
      <c r="I78" s="8"/>
      <c r="J78" s="8"/>
      <c r="K78" s="8"/>
      <c r="L78" s="8"/>
      <c r="M78" s="8"/>
      <c r="N78" s="8"/>
      <c r="O78" s="8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5"/>
      <c r="B79" s="5"/>
      <c r="C79" s="6"/>
      <c r="D79" s="5"/>
      <c r="E79" s="5"/>
      <c r="F79" s="5"/>
      <c r="G79" s="5"/>
      <c r="H79" s="8"/>
      <c r="I79" s="8"/>
      <c r="J79" s="8"/>
      <c r="K79" s="8"/>
      <c r="L79" s="8"/>
      <c r="M79" s="8"/>
      <c r="N79" s="8"/>
      <c r="O79" s="8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5"/>
      <c r="B80" s="5"/>
      <c r="C80" s="6"/>
      <c r="D80" s="5"/>
      <c r="E80" s="5"/>
      <c r="F80" s="5"/>
      <c r="G80" s="5"/>
      <c r="H80" s="8"/>
      <c r="I80" s="8"/>
      <c r="J80" s="8"/>
      <c r="K80" s="8"/>
      <c r="L80" s="8"/>
      <c r="M80" s="8"/>
      <c r="N80" s="8"/>
      <c r="O80" s="8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5"/>
      <c r="B81" s="5"/>
      <c r="C81" s="6"/>
      <c r="D81" s="5"/>
      <c r="E81" s="5"/>
      <c r="F81" s="5"/>
      <c r="G81" s="5"/>
      <c r="H81" s="8"/>
      <c r="I81" s="8"/>
      <c r="J81" s="8"/>
      <c r="K81" s="8"/>
      <c r="L81" s="8"/>
      <c r="M81" s="8"/>
      <c r="N81" s="8"/>
      <c r="O81" s="8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5"/>
      <c r="B82" s="5"/>
      <c r="C82" s="6"/>
      <c r="D82" s="5"/>
      <c r="E82" s="5"/>
      <c r="F82" s="5"/>
      <c r="G82" s="5"/>
      <c r="H82" s="8"/>
      <c r="I82" s="8"/>
      <c r="J82" s="8"/>
      <c r="K82" s="8"/>
      <c r="L82" s="8"/>
      <c r="M82" s="8"/>
      <c r="N82" s="8"/>
      <c r="O82" s="8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5"/>
      <c r="B83" s="5"/>
      <c r="C83" s="6"/>
      <c r="D83" s="5"/>
      <c r="E83" s="5"/>
      <c r="F83" s="5"/>
      <c r="G83" s="5"/>
      <c r="H83" s="8"/>
      <c r="I83" s="8"/>
      <c r="J83" s="8"/>
      <c r="K83" s="8"/>
      <c r="L83" s="8"/>
      <c r="M83" s="8"/>
      <c r="N83" s="8"/>
      <c r="O83" s="8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5"/>
      <c r="B84" s="5"/>
      <c r="C84" s="6"/>
      <c r="D84" s="5"/>
      <c r="E84" s="5"/>
      <c r="F84" s="5"/>
      <c r="G84" s="5"/>
      <c r="H84" s="8"/>
      <c r="I84" s="8"/>
      <c r="J84" s="8"/>
      <c r="K84" s="8"/>
      <c r="L84" s="8"/>
      <c r="M84" s="8"/>
      <c r="N84" s="8"/>
      <c r="O84" s="8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5"/>
      <c r="B85" s="5"/>
      <c r="C85" s="6"/>
      <c r="D85" s="5"/>
      <c r="E85" s="5"/>
      <c r="F85" s="5"/>
      <c r="G85" s="5"/>
      <c r="H85" s="8"/>
      <c r="I85" s="8"/>
      <c r="J85" s="8"/>
      <c r="K85" s="8"/>
      <c r="L85" s="8"/>
      <c r="M85" s="8"/>
      <c r="N85" s="8"/>
      <c r="O85" s="8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5"/>
      <c r="B86" s="5"/>
      <c r="C86" s="6"/>
      <c r="D86" s="5"/>
      <c r="E86" s="5"/>
      <c r="F86" s="5"/>
      <c r="G86" s="5"/>
      <c r="H86" s="8"/>
      <c r="I86" s="8"/>
      <c r="J86" s="8"/>
      <c r="K86" s="8"/>
      <c r="L86" s="8"/>
      <c r="M86" s="8"/>
      <c r="N86" s="8"/>
      <c r="O86" s="8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5"/>
      <c r="B87" s="5"/>
      <c r="C87" s="6"/>
      <c r="D87" s="5"/>
      <c r="E87" s="5"/>
      <c r="F87" s="5"/>
      <c r="G87" s="5"/>
      <c r="H87" s="8"/>
      <c r="I87" s="8"/>
      <c r="J87" s="8"/>
      <c r="K87" s="8"/>
      <c r="L87" s="8"/>
      <c r="M87" s="8"/>
      <c r="N87" s="8"/>
      <c r="O87" s="8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5"/>
      <c r="B88" s="5"/>
      <c r="C88" s="6"/>
      <c r="D88" s="5"/>
      <c r="E88" s="5"/>
      <c r="F88" s="5"/>
      <c r="G88" s="5"/>
      <c r="H88" s="8"/>
      <c r="I88" s="8"/>
      <c r="J88" s="8"/>
      <c r="K88" s="8"/>
      <c r="L88" s="8"/>
      <c r="M88" s="8"/>
      <c r="N88" s="8"/>
      <c r="O88" s="8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5"/>
      <c r="B89" s="5"/>
      <c r="C89" s="6"/>
      <c r="D89" s="5"/>
      <c r="E89" s="5"/>
      <c r="F89" s="5"/>
      <c r="G89" s="5"/>
      <c r="H89" s="8"/>
      <c r="I89" s="8"/>
      <c r="J89" s="8"/>
      <c r="K89" s="8"/>
      <c r="L89" s="8"/>
      <c r="M89" s="8"/>
      <c r="N89" s="8"/>
      <c r="O89" s="8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5"/>
      <c r="B90" s="5"/>
      <c r="C90" s="6"/>
      <c r="D90" s="5"/>
      <c r="E90" s="5"/>
      <c r="F90" s="5"/>
      <c r="G90" s="5"/>
      <c r="H90" s="8"/>
      <c r="I90" s="8"/>
      <c r="J90" s="8"/>
      <c r="K90" s="8"/>
      <c r="L90" s="8"/>
      <c r="M90" s="8"/>
      <c r="N90" s="8"/>
      <c r="O90" s="8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5"/>
      <c r="B91" s="5"/>
      <c r="C91" s="6"/>
      <c r="D91" s="5"/>
      <c r="E91" s="5"/>
      <c r="F91" s="5"/>
      <c r="G91" s="5"/>
      <c r="H91" s="8"/>
      <c r="I91" s="8"/>
      <c r="J91" s="8"/>
      <c r="K91" s="8"/>
      <c r="L91" s="8"/>
      <c r="M91" s="8"/>
      <c r="N91" s="8"/>
      <c r="O91" s="8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5"/>
      <c r="B92" s="5"/>
      <c r="C92" s="6"/>
      <c r="D92" s="5"/>
      <c r="E92" s="5"/>
      <c r="F92" s="5"/>
      <c r="G92" s="5"/>
      <c r="H92" s="8"/>
      <c r="I92" s="8"/>
      <c r="J92" s="8"/>
      <c r="K92" s="8"/>
      <c r="L92" s="8"/>
      <c r="M92" s="8"/>
      <c r="N92" s="8"/>
      <c r="O92" s="8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5"/>
      <c r="B93" s="5"/>
      <c r="C93" s="6"/>
      <c r="D93" s="5"/>
      <c r="E93" s="5"/>
      <c r="F93" s="5"/>
      <c r="G93" s="5"/>
      <c r="H93" s="8"/>
      <c r="I93" s="8"/>
      <c r="J93" s="8"/>
      <c r="K93" s="8"/>
      <c r="L93" s="8"/>
      <c r="M93" s="8"/>
      <c r="N93" s="8"/>
      <c r="O93" s="8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5"/>
      <c r="B94" s="5"/>
      <c r="C94" s="6"/>
      <c r="D94" s="5"/>
      <c r="E94" s="5"/>
      <c r="F94" s="5"/>
      <c r="G94" s="5"/>
      <c r="H94" s="8"/>
      <c r="I94" s="8"/>
      <c r="J94" s="8"/>
      <c r="K94" s="8"/>
      <c r="L94" s="8"/>
      <c r="M94" s="8"/>
      <c r="N94" s="8"/>
      <c r="O94" s="8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5"/>
      <c r="B95" s="5"/>
      <c r="C95" s="6"/>
      <c r="D95" s="5"/>
      <c r="E95" s="5"/>
      <c r="F95" s="5"/>
      <c r="G95" s="5"/>
      <c r="H95" s="8"/>
      <c r="I95" s="8"/>
      <c r="J95" s="8"/>
      <c r="K95" s="8"/>
      <c r="L95" s="8"/>
      <c r="M95" s="8"/>
      <c r="N95" s="8"/>
      <c r="O95" s="8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5"/>
      <c r="B96" s="5"/>
      <c r="C96" s="6"/>
      <c r="D96" s="5"/>
      <c r="E96" s="5"/>
      <c r="F96" s="5"/>
      <c r="G96" s="5"/>
      <c r="H96" s="8"/>
      <c r="I96" s="8"/>
      <c r="J96" s="8"/>
      <c r="K96" s="8"/>
      <c r="L96" s="8"/>
      <c r="M96" s="8"/>
      <c r="N96" s="8"/>
      <c r="O96" s="8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5"/>
      <c r="B97" s="5"/>
      <c r="C97" s="6"/>
      <c r="D97" s="5"/>
      <c r="E97" s="5"/>
      <c r="F97" s="5"/>
      <c r="G97" s="5"/>
      <c r="H97" s="8"/>
      <c r="I97" s="8"/>
      <c r="J97" s="8"/>
      <c r="K97" s="8"/>
      <c r="L97" s="8"/>
      <c r="M97" s="8"/>
      <c r="N97" s="8"/>
      <c r="O97" s="8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5"/>
      <c r="B98" s="5"/>
      <c r="C98" s="6"/>
      <c r="D98" s="5"/>
      <c r="E98" s="5"/>
      <c r="F98" s="5"/>
      <c r="G98" s="5"/>
      <c r="H98" s="8"/>
      <c r="I98" s="8"/>
      <c r="J98" s="8"/>
      <c r="K98" s="8"/>
      <c r="L98" s="8"/>
      <c r="M98" s="8"/>
      <c r="N98" s="8"/>
      <c r="O98" s="8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5"/>
      <c r="B99" s="5"/>
      <c r="C99" s="6"/>
      <c r="D99" s="5"/>
      <c r="E99" s="5"/>
      <c r="F99" s="5"/>
      <c r="G99" s="5"/>
      <c r="H99" s="8"/>
      <c r="I99" s="8"/>
      <c r="J99" s="8"/>
      <c r="K99" s="8"/>
      <c r="L99" s="8"/>
      <c r="M99" s="8"/>
      <c r="N99" s="8"/>
      <c r="O99" s="8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5"/>
      <c r="B100" s="5"/>
      <c r="C100" s="6"/>
      <c r="D100" s="5"/>
      <c r="E100" s="5"/>
      <c r="F100" s="5"/>
      <c r="G100" s="5"/>
      <c r="H100" s="8"/>
      <c r="I100" s="8"/>
      <c r="J100" s="8"/>
      <c r="K100" s="8"/>
      <c r="L100" s="8"/>
      <c r="M100" s="8"/>
      <c r="N100" s="8"/>
      <c r="O100" s="8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</sheetData>
  <mergeCells count="2">
    <mergeCell ref="A1:O1"/>
    <mergeCell ref="A2:O2"/>
  </mergeCells>
  <dataValidations count="1">
    <dataValidation type="list" sqref="N5:N100">
      <formula1>"是,否"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20"/>
  <sheetViews>
    <sheetView workbookViewId="0">
      <selection activeCell="G20" sqref="A5:T100"/>
    </sheetView>
  </sheetViews>
  <sheetFormatPr defaultColWidth="9" defaultRowHeight="14"/>
  <cols>
    <col min="1" max="1" width="14" customWidth="1"/>
    <col min="2" max="2" width="20" customWidth="1"/>
    <col min="3" max="3" width="14" customWidth="1"/>
    <col min="4" max="4" width="18" customWidth="1"/>
    <col min="5" max="8" width="14" customWidth="1"/>
    <col min="9" max="9" width="12" customWidth="1"/>
    <col min="10" max="10" width="18" customWidth="1"/>
    <col min="11" max="12" width="14" customWidth="1"/>
    <col min="13" max="13" width="12" customWidth="1"/>
    <col min="14" max="18" width="14" customWidth="1"/>
    <col min="19" max="19" width="18" customWidth="1"/>
    <col min="20" max="20" width="28" customWidth="1"/>
  </cols>
  <sheetData>
    <row r="1" ht="30" customHeight="1" spans="1:26">
      <c r="A1" s="1" t="s">
        <v>329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4" customHeight="1" spans="1:26">
      <c r="A2" s="3" t="s">
        <v>330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6" customHeight="1" spans="1:26">
      <c r="A4" s="4" t="s">
        <v>36</v>
      </c>
      <c r="B4" s="4" t="s">
        <v>331</v>
      </c>
      <c r="C4" s="4" t="s">
        <v>332</v>
      </c>
      <c r="D4" s="4" t="s">
        <v>333</v>
      </c>
      <c r="E4" s="4" t="s">
        <v>334</v>
      </c>
      <c r="F4" s="4" t="s">
        <v>335</v>
      </c>
      <c r="G4" s="4" t="s">
        <v>336</v>
      </c>
      <c r="H4" s="4" t="s">
        <v>337</v>
      </c>
      <c r="I4" s="4" t="s">
        <v>338</v>
      </c>
      <c r="J4" s="4" t="s">
        <v>339</v>
      </c>
      <c r="K4" s="4" t="s">
        <v>340</v>
      </c>
      <c r="L4" s="4" t="s">
        <v>291</v>
      </c>
      <c r="M4" s="4" t="s">
        <v>294</v>
      </c>
      <c r="N4" s="4" t="s">
        <v>296</v>
      </c>
      <c r="O4" s="4" t="s">
        <v>297</v>
      </c>
      <c r="P4" s="4" t="s">
        <v>325</v>
      </c>
      <c r="Q4" s="4" t="s">
        <v>326</v>
      </c>
      <c r="R4" s="4" t="s">
        <v>95</v>
      </c>
      <c r="S4" s="4" t="s">
        <v>341</v>
      </c>
      <c r="T4" s="4" t="s">
        <v>299</v>
      </c>
      <c r="U4" s="2"/>
      <c r="V4" s="2"/>
      <c r="W4" s="2"/>
      <c r="X4" s="2"/>
      <c r="Y4" s="2"/>
      <c r="Z4" s="2"/>
    </row>
    <row r="5" spans="1:26">
      <c r="A5" s="5"/>
      <c r="B5" s="5"/>
      <c r="C5" s="6"/>
      <c r="D5" s="5"/>
      <c r="E5" s="5"/>
      <c r="F5" s="5"/>
      <c r="G5" s="5"/>
      <c r="H5" s="5"/>
      <c r="I5" s="5"/>
      <c r="J5" s="5"/>
      <c r="K5" s="5"/>
      <c r="L5" s="7"/>
      <c r="M5" s="7"/>
      <c r="N5" s="7"/>
      <c r="O5" s="7"/>
      <c r="P5" s="7"/>
      <c r="Q5" s="7"/>
      <c r="R5" s="2"/>
      <c r="S5" s="2"/>
      <c r="T5" s="2"/>
      <c r="U5" s="2"/>
      <c r="V5" s="2"/>
      <c r="W5" s="2"/>
      <c r="X5" s="2"/>
      <c r="Y5" s="2"/>
      <c r="Z5" s="2"/>
    </row>
    <row r="6" spans="1:26">
      <c r="A6" s="5"/>
      <c r="B6" s="5"/>
      <c r="C6" s="6"/>
      <c r="D6" s="5"/>
      <c r="E6" s="5"/>
      <c r="F6" s="5"/>
      <c r="G6" s="5"/>
      <c r="H6" s="5"/>
      <c r="I6" s="5"/>
      <c r="J6" s="5"/>
      <c r="K6" s="5"/>
      <c r="L6" s="7"/>
      <c r="M6" s="7"/>
      <c r="N6" s="7"/>
      <c r="O6" s="7"/>
      <c r="P6" s="7"/>
      <c r="Q6" s="7"/>
      <c r="R6" s="2"/>
      <c r="S6" s="2"/>
      <c r="T6" s="2"/>
      <c r="U6" s="2"/>
      <c r="V6" s="2"/>
      <c r="W6" s="2"/>
      <c r="X6" s="2"/>
      <c r="Y6" s="2"/>
      <c r="Z6" s="2"/>
    </row>
    <row r="7" spans="1:26">
      <c r="A7" s="5"/>
      <c r="B7" s="5"/>
      <c r="C7" s="6"/>
      <c r="D7" s="5"/>
      <c r="E7" s="5"/>
      <c r="F7" s="5"/>
      <c r="G7" s="5"/>
      <c r="H7" s="5"/>
      <c r="I7" s="5"/>
      <c r="J7" s="5"/>
      <c r="K7" s="5"/>
      <c r="L7" s="7"/>
      <c r="M7" s="7"/>
      <c r="N7" s="7"/>
      <c r="O7" s="7"/>
      <c r="P7" s="7"/>
      <c r="Q7" s="7"/>
      <c r="R7" s="2"/>
      <c r="S7" s="2"/>
      <c r="T7" s="2"/>
      <c r="U7" s="2"/>
      <c r="V7" s="2"/>
      <c r="W7" s="2"/>
      <c r="X7" s="2"/>
      <c r="Y7" s="2"/>
      <c r="Z7" s="2"/>
    </row>
    <row r="8" spans="1:26">
      <c r="A8" s="5"/>
      <c r="B8" s="5"/>
      <c r="C8" s="6"/>
      <c r="D8" s="5"/>
      <c r="E8" s="5"/>
      <c r="F8" s="5"/>
      <c r="G8" s="5"/>
      <c r="H8" s="5"/>
      <c r="I8" s="5"/>
      <c r="J8" s="5"/>
      <c r="K8" s="5"/>
      <c r="L8" s="7"/>
      <c r="M8" s="7"/>
      <c r="N8" s="7"/>
      <c r="O8" s="7"/>
      <c r="P8" s="7"/>
      <c r="Q8" s="7"/>
      <c r="R8" s="2"/>
      <c r="S8" s="2"/>
      <c r="T8" s="2"/>
      <c r="U8" s="2"/>
      <c r="V8" s="2"/>
      <c r="W8" s="2"/>
      <c r="X8" s="2"/>
      <c r="Y8" s="2"/>
      <c r="Z8" s="2"/>
    </row>
    <row r="9" spans="1:26">
      <c r="A9" s="5"/>
      <c r="B9" s="5"/>
      <c r="C9" s="6"/>
      <c r="D9" s="5"/>
      <c r="E9" s="5"/>
      <c r="F9" s="5"/>
      <c r="G9" s="5"/>
      <c r="H9" s="5"/>
      <c r="I9" s="5"/>
      <c r="J9" s="5"/>
      <c r="K9" s="5"/>
      <c r="L9" s="7"/>
      <c r="M9" s="7"/>
      <c r="N9" s="7"/>
      <c r="O9" s="7"/>
      <c r="P9" s="7"/>
      <c r="Q9" s="7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5"/>
      <c r="B10" s="5"/>
      <c r="C10" s="6"/>
      <c r="D10" s="5"/>
      <c r="E10" s="5"/>
      <c r="F10" s="5"/>
      <c r="G10" s="5"/>
      <c r="H10" s="5"/>
      <c r="I10" s="5"/>
      <c r="J10" s="5"/>
      <c r="K10" s="5"/>
      <c r="L10" s="7"/>
      <c r="M10" s="7"/>
      <c r="N10" s="7"/>
      <c r="O10" s="7"/>
      <c r="P10" s="7"/>
      <c r="Q10" s="7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5"/>
      <c r="B11" s="5"/>
      <c r="C11" s="6"/>
      <c r="D11" s="5"/>
      <c r="E11" s="5"/>
      <c r="F11" s="5"/>
      <c r="G11" s="5"/>
      <c r="H11" s="5"/>
      <c r="I11" s="5"/>
      <c r="J11" s="5"/>
      <c r="K11" s="5"/>
      <c r="L11" s="7"/>
      <c r="M11" s="7"/>
      <c r="N11" s="7"/>
      <c r="O11" s="7"/>
      <c r="P11" s="7"/>
      <c r="Q11" s="7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5"/>
      <c r="B12" s="5"/>
      <c r="C12" s="6"/>
      <c r="D12" s="5"/>
      <c r="E12" s="5"/>
      <c r="F12" s="5"/>
      <c r="G12" s="5"/>
      <c r="H12" s="5"/>
      <c r="I12" s="5"/>
      <c r="J12" s="5"/>
      <c r="K12" s="5"/>
      <c r="L12" s="7"/>
      <c r="M12" s="7"/>
      <c r="N12" s="7"/>
      <c r="O12" s="7"/>
      <c r="P12" s="7"/>
      <c r="Q12" s="7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5"/>
      <c r="B13" s="5"/>
      <c r="C13" s="6"/>
      <c r="D13" s="5"/>
      <c r="E13" s="5"/>
      <c r="F13" s="5"/>
      <c r="G13" s="5"/>
      <c r="H13" s="5"/>
      <c r="I13" s="5"/>
      <c r="J13" s="5"/>
      <c r="K13" s="5"/>
      <c r="L13" s="7"/>
      <c r="M13" s="7"/>
      <c r="N13" s="7"/>
      <c r="O13" s="7"/>
      <c r="P13" s="7"/>
      <c r="Q13" s="7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5"/>
      <c r="B14" s="5"/>
      <c r="C14" s="6"/>
      <c r="D14" s="5"/>
      <c r="E14" s="5"/>
      <c r="F14" s="5"/>
      <c r="G14" s="5"/>
      <c r="H14" s="5"/>
      <c r="I14" s="5"/>
      <c r="J14" s="5"/>
      <c r="K14" s="5"/>
      <c r="L14" s="7"/>
      <c r="M14" s="7"/>
      <c r="N14" s="7"/>
      <c r="O14" s="7"/>
      <c r="P14" s="7"/>
      <c r="Q14" s="7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5"/>
      <c r="B15" s="5"/>
      <c r="C15" s="6"/>
      <c r="D15" s="5"/>
      <c r="E15" s="5"/>
      <c r="F15" s="5"/>
      <c r="G15" s="5"/>
      <c r="H15" s="5"/>
      <c r="I15" s="5"/>
      <c r="J15" s="5"/>
      <c r="K15" s="5"/>
      <c r="L15" s="7"/>
      <c r="M15" s="7"/>
      <c r="N15" s="7"/>
      <c r="O15" s="7"/>
      <c r="P15" s="7"/>
      <c r="Q15" s="7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5"/>
      <c r="B16" s="5"/>
      <c r="C16" s="6"/>
      <c r="D16" s="5"/>
      <c r="E16" s="5"/>
      <c r="F16" s="5"/>
      <c r="G16" s="5"/>
      <c r="H16" s="5"/>
      <c r="I16" s="5"/>
      <c r="J16" s="5"/>
      <c r="K16" s="5"/>
      <c r="L16" s="7"/>
      <c r="M16" s="7"/>
      <c r="N16" s="7"/>
      <c r="O16" s="7"/>
      <c r="P16" s="7"/>
      <c r="Q16" s="7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5"/>
      <c r="B17" s="5"/>
      <c r="C17" s="6"/>
      <c r="D17" s="5"/>
      <c r="E17" s="5"/>
      <c r="F17" s="5"/>
      <c r="G17" s="5"/>
      <c r="H17" s="5"/>
      <c r="I17" s="5"/>
      <c r="J17" s="5"/>
      <c r="K17" s="5"/>
      <c r="L17" s="7"/>
      <c r="M17" s="7"/>
      <c r="N17" s="7"/>
      <c r="O17" s="7"/>
      <c r="P17" s="7"/>
      <c r="Q17" s="7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5"/>
      <c r="B18" s="5"/>
      <c r="C18" s="6"/>
      <c r="D18" s="5"/>
      <c r="E18" s="5"/>
      <c r="F18" s="5"/>
      <c r="G18" s="5"/>
      <c r="H18" s="5"/>
      <c r="I18" s="5"/>
      <c r="J18" s="5"/>
      <c r="K18" s="5"/>
      <c r="L18" s="7"/>
      <c r="M18" s="7"/>
      <c r="N18" s="7"/>
      <c r="O18" s="7"/>
      <c r="P18" s="7"/>
      <c r="Q18" s="7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5"/>
      <c r="B19" s="5"/>
      <c r="C19" s="6"/>
      <c r="D19" s="5"/>
      <c r="E19" s="5"/>
      <c r="F19" s="5"/>
      <c r="G19" s="5"/>
      <c r="H19" s="5"/>
      <c r="I19" s="5"/>
      <c r="J19" s="5"/>
      <c r="K19" s="5"/>
      <c r="L19" s="7"/>
      <c r="M19" s="7"/>
      <c r="N19" s="7"/>
      <c r="O19" s="7"/>
      <c r="P19" s="7"/>
      <c r="Q19" s="7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5"/>
      <c r="B20" s="5"/>
      <c r="C20" s="6"/>
      <c r="D20" s="5"/>
      <c r="E20" s="5"/>
      <c r="F20" s="5"/>
      <c r="G20" s="5"/>
      <c r="H20" s="5"/>
      <c r="I20" s="5"/>
      <c r="J20" s="5"/>
      <c r="K20" s="5"/>
      <c r="L20" s="7"/>
      <c r="M20" s="7"/>
      <c r="N20" s="7"/>
      <c r="O20" s="7"/>
      <c r="P20" s="7"/>
      <c r="Q20" s="7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5"/>
      <c r="B21" s="5"/>
      <c r="C21" s="6"/>
      <c r="D21" s="5"/>
      <c r="E21" s="5"/>
      <c r="F21" s="5"/>
      <c r="G21" s="5"/>
      <c r="H21" s="5"/>
      <c r="I21" s="5"/>
      <c r="J21" s="5"/>
      <c r="K21" s="5"/>
      <c r="L21" s="7"/>
      <c r="M21" s="7"/>
      <c r="N21" s="7"/>
      <c r="O21" s="7"/>
      <c r="P21" s="7"/>
      <c r="Q21" s="7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5"/>
      <c r="B22" s="5"/>
      <c r="C22" s="6"/>
      <c r="D22" s="5"/>
      <c r="E22" s="5"/>
      <c r="F22" s="5"/>
      <c r="G22" s="5"/>
      <c r="H22" s="5"/>
      <c r="I22" s="5"/>
      <c r="J22" s="5"/>
      <c r="K22" s="5"/>
      <c r="L22" s="7"/>
      <c r="M22" s="7"/>
      <c r="N22" s="7"/>
      <c r="O22" s="7"/>
      <c r="P22" s="7"/>
      <c r="Q22" s="7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5"/>
      <c r="B23" s="5"/>
      <c r="C23" s="6"/>
      <c r="D23" s="5"/>
      <c r="E23" s="5"/>
      <c r="F23" s="5"/>
      <c r="G23" s="5"/>
      <c r="H23" s="5"/>
      <c r="I23" s="5"/>
      <c r="J23" s="5"/>
      <c r="K23" s="5"/>
      <c r="L23" s="7"/>
      <c r="M23" s="7"/>
      <c r="N23" s="7"/>
      <c r="O23" s="7"/>
      <c r="P23" s="7"/>
      <c r="Q23" s="7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5"/>
      <c r="B24" s="5"/>
      <c r="C24" s="6"/>
      <c r="D24" s="5"/>
      <c r="E24" s="5"/>
      <c r="F24" s="5"/>
      <c r="G24" s="5"/>
      <c r="H24" s="5"/>
      <c r="I24" s="5"/>
      <c r="J24" s="5"/>
      <c r="K24" s="5"/>
      <c r="L24" s="7"/>
      <c r="M24" s="7"/>
      <c r="N24" s="7"/>
      <c r="O24" s="7"/>
      <c r="P24" s="7"/>
      <c r="Q24" s="7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5"/>
      <c r="B25" s="5"/>
      <c r="C25" s="6"/>
      <c r="D25" s="5"/>
      <c r="E25" s="5"/>
      <c r="F25" s="5"/>
      <c r="G25" s="5"/>
      <c r="H25" s="5"/>
      <c r="I25" s="5"/>
      <c r="J25" s="5"/>
      <c r="K25" s="5"/>
      <c r="L25" s="7"/>
      <c r="M25" s="7"/>
      <c r="N25" s="7"/>
      <c r="O25" s="7"/>
      <c r="P25" s="7"/>
      <c r="Q25" s="7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5"/>
      <c r="B26" s="5"/>
      <c r="C26" s="6"/>
      <c r="D26" s="5"/>
      <c r="E26" s="5"/>
      <c r="F26" s="5"/>
      <c r="G26" s="5"/>
      <c r="H26" s="5"/>
      <c r="I26" s="5"/>
      <c r="J26" s="5"/>
      <c r="K26" s="5"/>
      <c r="L26" s="7"/>
      <c r="M26" s="7"/>
      <c r="N26" s="7"/>
      <c r="O26" s="7"/>
      <c r="P26" s="7"/>
      <c r="Q26" s="7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5"/>
      <c r="B27" s="5"/>
      <c r="C27" s="6"/>
      <c r="D27" s="5"/>
      <c r="E27" s="5"/>
      <c r="F27" s="5"/>
      <c r="G27" s="5"/>
      <c r="H27" s="5"/>
      <c r="I27" s="5"/>
      <c r="J27" s="5"/>
      <c r="K27" s="5"/>
      <c r="L27" s="7"/>
      <c r="M27" s="7"/>
      <c r="N27" s="7"/>
      <c r="O27" s="7"/>
      <c r="P27" s="7"/>
      <c r="Q27" s="7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5"/>
      <c r="B28" s="5"/>
      <c r="C28" s="6"/>
      <c r="D28" s="5"/>
      <c r="E28" s="5"/>
      <c r="F28" s="5"/>
      <c r="G28" s="5"/>
      <c r="H28" s="5"/>
      <c r="I28" s="5"/>
      <c r="J28" s="5"/>
      <c r="K28" s="5"/>
      <c r="L28" s="7"/>
      <c r="M28" s="7"/>
      <c r="N28" s="7"/>
      <c r="O28" s="7"/>
      <c r="P28" s="7"/>
      <c r="Q28" s="7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5"/>
      <c r="B29" s="5"/>
      <c r="C29" s="6"/>
      <c r="D29" s="5"/>
      <c r="E29" s="5"/>
      <c r="F29" s="5"/>
      <c r="G29" s="5"/>
      <c r="H29" s="5"/>
      <c r="I29" s="5"/>
      <c r="J29" s="5"/>
      <c r="K29" s="5"/>
      <c r="L29" s="7"/>
      <c r="M29" s="7"/>
      <c r="N29" s="7"/>
      <c r="O29" s="7"/>
      <c r="P29" s="7"/>
      <c r="Q29" s="7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5"/>
      <c r="B30" s="5"/>
      <c r="C30" s="6"/>
      <c r="D30" s="5"/>
      <c r="E30" s="5"/>
      <c r="F30" s="5"/>
      <c r="G30" s="5"/>
      <c r="H30" s="5"/>
      <c r="I30" s="5"/>
      <c r="J30" s="5"/>
      <c r="K30" s="5"/>
      <c r="L30" s="7"/>
      <c r="M30" s="7"/>
      <c r="N30" s="7"/>
      <c r="O30" s="7"/>
      <c r="P30" s="7"/>
      <c r="Q30" s="7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5"/>
      <c r="B31" s="5"/>
      <c r="C31" s="6"/>
      <c r="D31" s="5"/>
      <c r="E31" s="5"/>
      <c r="F31" s="5"/>
      <c r="G31" s="5"/>
      <c r="H31" s="5"/>
      <c r="I31" s="5"/>
      <c r="J31" s="5"/>
      <c r="K31" s="5"/>
      <c r="L31" s="7"/>
      <c r="M31" s="7"/>
      <c r="N31" s="7"/>
      <c r="O31" s="7"/>
      <c r="P31" s="7"/>
      <c r="Q31" s="7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5"/>
      <c r="B32" s="5"/>
      <c r="C32" s="6"/>
      <c r="D32" s="5"/>
      <c r="E32" s="5"/>
      <c r="F32" s="5"/>
      <c r="G32" s="5"/>
      <c r="H32" s="5"/>
      <c r="I32" s="5"/>
      <c r="J32" s="5"/>
      <c r="K32" s="5"/>
      <c r="L32" s="7"/>
      <c r="M32" s="7"/>
      <c r="N32" s="7"/>
      <c r="O32" s="7"/>
      <c r="P32" s="7"/>
      <c r="Q32" s="7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5"/>
      <c r="B33" s="5"/>
      <c r="C33" s="6"/>
      <c r="D33" s="5"/>
      <c r="E33" s="5"/>
      <c r="F33" s="5"/>
      <c r="G33" s="5"/>
      <c r="H33" s="5"/>
      <c r="I33" s="5"/>
      <c r="J33" s="5"/>
      <c r="K33" s="5"/>
      <c r="L33" s="7"/>
      <c r="M33" s="7"/>
      <c r="N33" s="7"/>
      <c r="O33" s="7"/>
      <c r="P33" s="7"/>
      <c r="Q33" s="7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5"/>
      <c r="B34" s="5"/>
      <c r="C34" s="6"/>
      <c r="D34" s="5"/>
      <c r="E34" s="5"/>
      <c r="F34" s="5"/>
      <c r="G34" s="5"/>
      <c r="H34" s="5"/>
      <c r="I34" s="5"/>
      <c r="J34" s="5"/>
      <c r="K34" s="5"/>
      <c r="L34" s="7"/>
      <c r="M34" s="7"/>
      <c r="N34" s="7"/>
      <c r="O34" s="7"/>
      <c r="P34" s="7"/>
      <c r="Q34" s="7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5"/>
      <c r="B35" s="5"/>
      <c r="C35" s="6"/>
      <c r="D35" s="5"/>
      <c r="E35" s="5"/>
      <c r="F35" s="5"/>
      <c r="G35" s="5"/>
      <c r="H35" s="5"/>
      <c r="I35" s="5"/>
      <c r="J35" s="5"/>
      <c r="K35" s="5"/>
      <c r="L35" s="7"/>
      <c r="M35" s="7"/>
      <c r="N35" s="7"/>
      <c r="O35" s="7"/>
      <c r="P35" s="7"/>
      <c r="Q35" s="7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5"/>
      <c r="B36" s="5"/>
      <c r="C36" s="6"/>
      <c r="D36" s="5"/>
      <c r="E36" s="5"/>
      <c r="F36" s="5"/>
      <c r="G36" s="5"/>
      <c r="H36" s="5"/>
      <c r="I36" s="5"/>
      <c r="J36" s="5"/>
      <c r="K36" s="5"/>
      <c r="L36" s="7"/>
      <c r="M36" s="7"/>
      <c r="N36" s="7"/>
      <c r="O36" s="7"/>
      <c r="P36" s="7"/>
      <c r="Q36" s="7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5"/>
      <c r="B37" s="5"/>
      <c r="C37" s="6"/>
      <c r="D37" s="5"/>
      <c r="E37" s="5"/>
      <c r="F37" s="5"/>
      <c r="G37" s="5"/>
      <c r="H37" s="5"/>
      <c r="I37" s="5"/>
      <c r="J37" s="5"/>
      <c r="K37" s="5"/>
      <c r="L37" s="7"/>
      <c r="M37" s="7"/>
      <c r="N37" s="7"/>
      <c r="O37" s="7"/>
      <c r="P37" s="7"/>
      <c r="Q37" s="7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5"/>
      <c r="B38" s="5"/>
      <c r="C38" s="6"/>
      <c r="D38" s="5"/>
      <c r="E38" s="5"/>
      <c r="F38" s="5"/>
      <c r="G38" s="5"/>
      <c r="H38" s="5"/>
      <c r="I38" s="5"/>
      <c r="J38" s="5"/>
      <c r="K38" s="5"/>
      <c r="L38" s="7"/>
      <c r="M38" s="7"/>
      <c r="N38" s="7"/>
      <c r="O38" s="7"/>
      <c r="P38" s="7"/>
      <c r="Q38" s="7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5"/>
      <c r="B39" s="5"/>
      <c r="C39" s="6"/>
      <c r="D39" s="5"/>
      <c r="E39" s="5"/>
      <c r="F39" s="5"/>
      <c r="G39" s="5"/>
      <c r="H39" s="5"/>
      <c r="I39" s="5"/>
      <c r="J39" s="5"/>
      <c r="K39" s="5"/>
      <c r="L39" s="7"/>
      <c r="M39" s="7"/>
      <c r="N39" s="7"/>
      <c r="O39" s="7"/>
      <c r="P39" s="7"/>
      <c r="Q39" s="7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5"/>
      <c r="B40" s="5"/>
      <c r="C40" s="6"/>
      <c r="D40" s="5"/>
      <c r="E40" s="5"/>
      <c r="F40" s="5"/>
      <c r="G40" s="5"/>
      <c r="H40" s="5"/>
      <c r="I40" s="5"/>
      <c r="J40" s="5"/>
      <c r="K40" s="5"/>
      <c r="L40" s="7"/>
      <c r="M40" s="7"/>
      <c r="N40" s="7"/>
      <c r="O40" s="7"/>
      <c r="P40" s="7"/>
      <c r="Q40" s="7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5"/>
      <c r="B41" s="5"/>
      <c r="C41" s="6"/>
      <c r="D41" s="5"/>
      <c r="E41" s="5"/>
      <c r="F41" s="5"/>
      <c r="G41" s="5"/>
      <c r="H41" s="5"/>
      <c r="I41" s="5"/>
      <c r="J41" s="5"/>
      <c r="K41" s="5"/>
      <c r="L41" s="7"/>
      <c r="M41" s="7"/>
      <c r="N41" s="7"/>
      <c r="O41" s="7"/>
      <c r="P41" s="7"/>
      <c r="Q41" s="7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5"/>
      <c r="B42" s="5"/>
      <c r="C42" s="6"/>
      <c r="D42" s="5"/>
      <c r="E42" s="5"/>
      <c r="F42" s="5"/>
      <c r="G42" s="5"/>
      <c r="H42" s="5"/>
      <c r="I42" s="5"/>
      <c r="J42" s="5"/>
      <c r="K42" s="5"/>
      <c r="L42" s="7"/>
      <c r="M42" s="7"/>
      <c r="N42" s="7"/>
      <c r="O42" s="7"/>
      <c r="P42" s="7"/>
      <c r="Q42" s="7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5"/>
      <c r="B43" s="5"/>
      <c r="C43" s="6"/>
      <c r="D43" s="5"/>
      <c r="E43" s="5"/>
      <c r="F43" s="5"/>
      <c r="G43" s="5"/>
      <c r="H43" s="5"/>
      <c r="I43" s="5"/>
      <c r="J43" s="5"/>
      <c r="K43" s="5"/>
      <c r="L43" s="7"/>
      <c r="M43" s="7"/>
      <c r="N43" s="7"/>
      <c r="O43" s="7"/>
      <c r="P43" s="7"/>
      <c r="Q43" s="7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5"/>
      <c r="B44" s="5"/>
      <c r="C44" s="6"/>
      <c r="D44" s="5"/>
      <c r="E44" s="5"/>
      <c r="F44" s="5"/>
      <c r="G44" s="5"/>
      <c r="H44" s="5"/>
      <c r="I44" s="5"/>
      <c r="J44" s="5"/>
      <c r="K44" s="5"/>
      <c r="L44" s="7"/>
      <c r="M44" s="7"/>
      <c r="N44" s="7"/>
      <c r="O44" s="7"/>
      <c r="P44" s="7"/>
      <c r="Q44" s="7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5"/>
      <c r="B45" s="5"/>
      <c r="C45" s="6"/>
      <c r="D45" s="5"/>
      <c r="E45" s="5"/>
      <c r="F45" s="5"/>
      <c r="G45" s="5"/>
      <c r="H45" s="5"/>
      <c r="I45" s="5"/>
      <c r="J45" s="5"/>
      <c r="K45" s="5"/>
      <c r="L45" s="7"/>
      <c r="M45" s="7"/>
      <c r="N45" s="7"/>
      <c r="O45" s="7"/>
      <c r="P45" s="7"/>
      <c r="Q45" s="7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5"/>
      <c r="B46" s="5"/>
      <c r="C46" s="6"/>
      <c r="D46" s="5"/>
      <c r="E46" s="5"/>
      <c r="F46" s="5"/>
      <c r="G46" s="5"/>
      <c r="H46" s="5"/>
      <c r="I46" s="5"/>
      <c r="J46" s="5"/>
      <c r="K46" s="5"/>
      <c r="L46" s="7"/>
      <c r="M46" s="7"/>
      <c r="N46" s="7"/>
      <c r="O46" s="7"/>
      <c r="P46" s="7"/>
      <c r="Q46" s="7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5"/>
      <c r="B47" s="5"/>
      <c r="C47" s="6"/>
      <c r="D47" s="5"/>
      <c r="E47" s="5"/>
      <c r="F47" s="5"/>
      <c r="G47" s="5"/>
      <c r="H47" s="5"/>
      <c r="I47" s="5"/>
      <c r="J47" s="5"/>
      <c r="K47" s="5"/>
      <c r="L47" s="7"/>
      <c r="M47" s="7"/>
      <c r="N47" s="7"/>
      <c r="O47" s="7"/>
      <c r="P47" s="7"/>
      <c r="Q47" s="7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5"/>
      <c r="B48" s="5"/>
      <c r="C48" s="6"/>
      <c r="D48" s="5"/>
      <c r="E48" s="5"/>
      <c r="F48" s="5"/>
      <c r="G48" s="5"/>
      <c r="H48" s="5"/>
      <c r="I48" s="5"/>
      <c r="J48" s="5"/>
      <c r="K48" s="5"/>
      <c r="L48" s="7"/>
      <c r="M48" s="7"/>
      <c r="N48" s="7"/>
      <c r="O48" s="7"/>
      <c r="P48" s="7"/>
      <c r="Q48" s="7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5"/>
      <c r="B49" s="5"/>
      <c r="C49" s="6"/>
      <c r="D49" s="5"/>
      <c r="E49" s="5"/>
      <c r="F49" s="5"/>
      <c r="G49" s="5"/>
      <c r="H49" s="5"/>
      <c r="I49" s="5"/>
      <c r="J49" s="5"/>
      <c r="K49" s="5"/>
      <c r="L49" s="7"/>
      <c r="M49" s="7"/>
      <c r="N49" s="7"/>
      <c r="O49" s="7"/>
      <c r="P49" s="7"/>
      <c r="Q49" s="7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5"/>
      <c r="B50" s="5"/>
      <c r="C50" s="6"/>
      <c r="D50" s="5"/>
      <c r="E50" s="5"/>
      <c r="F50" s="5"/>
      <c r="G50" s="5"/>
      <c r="H50" s="5"/>
      <c r="I50" s="5"/>
      <c r="J50" s="5"/>
      <c r="K50" s="5"/>
      <c r="L50" s="7"/>
      <c r="M50" s="7"/>
      <c r="N50" s="7"/>
      <c r="O50" s="7"/>
      <c r="P50" s="7"/>
      <c r="Q50" s="7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5"/>
      <c r="B51" s="5"/>
      <c r="C51" s="6"/>
      <c r="D51" s="5"/>
      <c r="E51" s="5"/>
      <c r="F51" s="5"/>
      <c r="G51" s="5"/>
      <c r="H51" s="5"/>
      <c r="I51" s="5"/>
      <c r="J51" s="5"/>
      <c r="K51" s="5"/>
      <c r="L51" s="7"/>
      <c r="M51" s="7"/>
      <c r="N51" s="7"/>
      <c r="O51" s="7"/>
      <c r="P51" s="7"/>
      <c r="Q51" s="7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5"/>
      <c r="B52" s="5"/>
      <c r="C52" s="6"/>
      <c r="D52" s="5"/>
      <c r="E52" s="5"/>
      <c r="F52" s="5"/>
      <c r="G52" s="5"/>
      <c r="H52" s="5"/>
      <c r="I52" s="5"/>
      <c r="J52" s="5"/>
      <c r="K52" s="5"/>
      <c r="L52" s="7"/>
      <c r="M52" s="7"/>
      <c r="N52" s="7"/>
      <c r="O52" s="7"/>
      <c r="P52" s="7"/>
      <c r="Q52" s="7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5"/>
      <c r="B53" s="5"/>
      <c r="C53" s="6"/>
      <c r="D53" s="5"/>
      <c r="E53" s="5"/>
      <c r="F53" s="5"/>
      <c r="G53" s="5"/>
      <c r="H53" s="5"/>
      <c r="I53" s="5"/>
      <c r="J53" s="5"/>
      <c r="K53" s="5"/>
      <c r="L53" s="7"/>
      <c r="M53" s="7"/>
      <c r="N53" s="7"/>
      <c r="O53" s="7"/>
      <c r="P53" s="7"/>
      <c r="Q53" s="7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5"/>
      <c r="B54" s="5"/>
      <c r="C54" s="6"/>
      <c r="D54" s="5"/>
      <c r="E54" s="5"/>
      <c r="F54" s="5"/>
      <c r="G54" s="5"/>
      <c r="H54" s="5"/>
      <c r="I54" s="5"/>
      <c r="J54" s="5"/>
      <c r="K54" s="5"/>
      <c r="L54" s="7"/>
      <c r="M54" s="7"/>
      <c r="N54" s="7"/>
      <c r="O54" s="7"/>
      <c r="P54" s="7"/>
      <c r="Q54" s="7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5"/>
      <c r="B55" s="5"/>
      <c r="C55" s="6"/>
      <c r="D55" s="5"/>
      <c r="E55" s="5"/>
      <c r="F55" s="5"/>
      <c r="G55" s="5"/>
      <c r="H55" s="5"/>
      <c r="I55" s="5"/>
      <c r="J55" s="5"/>
      <c r="K55" s="5"/>
      <c r="L55" s="7"/>
      <c r="M55" s="7"/>
      <c r="N55" s="7"/>
      <c r="O55" s="7"/>
      <c r="P55" s="7"/>
      <c r="Q55" s="7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5"/>
      <c r="B56" s="5"/>
      <c r="C56" s="6"/>
      <c r="D56" s="5"/>
      <c r="E56" s="5"/>
      <c r="F56" s="5"/>
      <c r="G56" s="5"/>
      <c r="H56" s="5"/>
      <c r="I56" s="5"/>
      <c r="J56" s="5"/>
      <c r="K56" s="5"/>
      <c r="L56" s="7"/>
      <c r="M56" s="7"/>
      <c r="N56" s="7"/>
      <c r="O56" s="7"/>
      <c r="P56" s="7"/>
      <c r="Q56" s="7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5"/>
      <c r="B57" s="5"/>
      <c r="C57" s="6"/>
      <c r="D57" s="5"/>
      <c r="E57" s="5"/>
      <c r="F57" s="5"/>
      <c r="G57" s="5"/>
      <c r="H57" s="5"/>
      <c r="I57" s="5"/>
      <c r="J57" s="5"/>
      <c r="K57" s="5"/>
      <c r="L57" s="7"/>
      <c r="M57" s="7"/>
      <c r="N57" s="7"/>
      <c r="O57" s="7"/>
      <c r="P57" s="7"/>
      <c r="Q57" s="7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5"/>
      <c r="B58" s="5"/>
      <c r="C58" s="6"/>
      <c r="D58" s="5"/>
      <c r="E58" s="5"/>
      <c r="F58" s="5"/>
      <c r="G58" s="5"/>
      <c r="H58" s="5"/>
      <c r="I58" s="5"/>
      <c r="J58" s="5"/>
      <c r="K58" s="5"/>
      <c r="L58" s="7"/>
      <c r="M58" s="7"/>
      <c r="N58" s="7"/>
      <c r="O58" s="7"/>
      <c r="P58" s="7"/>
      <c r="Q58" s="7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5"/>
      <c r="B59" s="5"/>
      <c r="C59" s="6"/>
      <c r="D59" s="5"/>
      <c r="E59" s="5"/>
      <c r="F59" s="5"/>
      <c r="G59" s="5"/>
      <c r="H59" s="5"/>
      <c r="I59" s="5"/>
      <c r="J59" s="5"/>
      <c r="K59" s="5"/>
      <c r="L59" s="7"/>
      <c r="M59" s="7"/>
      <c r="N59" s="7"/>
      <c r="O59" s="7"/>
      <c r="P59" s="7"/>
      <c r="Q59" s="7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5"/>
      <c r="B60" s="5"/>
      <c r="C60" s="6"/>
      <c r="D60" s="5"/>
      <c r="E60" s="5"/>
      <c r="F60" s="5"/>
      <c r="G60" s="5"/>
      <c r="H60" s="5"/>
      <c r="I60" s="5"/>
      <c r="J60" s="5"/>
      <c r="K60" s="5"/>
      <c r="L60" s="7"/>
      <c r="M60" s="7"/>
      <c r="N60" s="7"/>
      <c r="O60" s="7"/>
      <c r="P60" s="7"/>
      <c r="Q60" s="7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5"/>
      <c r="B61" s="5"/>
      <c r="C61" s="6"/>
      <c r="D61" s="5"/>
      <c r="E61" s="5"/>
      <c r="F61" s="5"/>
      <c r="G61" s="5"/>
      <c r="H61" s="5"/>
      <c r="I61" s="5"/>
      <c r="J61" s="5"/>
      <c r="K61" s="5"/>
      <c r="L61" s="7"/>
      <c r="M61" s="7"/>
      <c r="N61" s="7"/>
      <c r="O61" s="7"/>
      <c r="P61" s="7"/>
      <c r="Q61" s="7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5"/>
      <c r="B62" s="5"/>
      <c r="C62" s="6"/>
      <c r="D62" s="5"/>
      <c r="E62" s="5"/>
      <c r="F62" s="5"/>
      <c r="G62" s="5"/>
      <c r="H62" s="5"/>
      <c r="I62" s="5"/>
      <c r="J62" s="5"/>
      <c r="K62" s="5"/>
      <c r="L62" s="7"/>
      <c r="M62" s="7"/>
      <c r="N62" s="7"/>
      <c r="O62" s="7"/>
      <c r="P62" s="7"/>
      <c r="Q62" s="7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5"/>
      <c r="B63" s="5"/>
      <c r="C63" s="6"/>
      <c r="D63" s="5"/>
      <c r="E63" s="5"/>
      <c r="F63" s="5"/>
      <c r="G63" s="5"/>
      <c r="H63" s="5"/>
      <c r="I63" s="5"/>
      <c r="J63" s="5"/>
      <c r="K63" s="5"/>
      <c r="L63" s="7"/>
      <c r="M63" s="7"/>
      <c r="N63" s="7"/>
      <c r="O63" s="7"/>
      <c r="P63" s="7"/>
      <c r="Q63" s="7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5"/>
      <c r="B64" s="5"/>
      <c r="C64" s="6"/>
      <c r="D64" s="5"/>
      <c r="E64" s="5"/>
      <c r="F64" s="5"/>
      <c r="G64" s="5"/>
      <c r="H64" s="5"/>
      <c r="I64" s="5"/>
      <c r="J64" s="5"/>
      <c r="K64" s="5"/>
      <c r="L64" s="7"/>
      <c r="M64" s="7"/>
      <c r="N64" s="7"/>
      <c r="O64" s="7"/>
      <c r="P64" s="7"/>
      <c r="Q64" s="7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5"/>
      <c r="B65" s="5"/>
      <c r="C65" s="6"/>
      <c r="D65" s="5"/>
      <c r="E65" s="5"/>
      <c r="F65" s="5"/>
      <c r="G65" s="5"/>
      <c r="H65" s="5"/>
      <c r="I65" s="5"/>
      <c r="J65" s="5"/>
      <c r="K65" s="5"/>
      <c r="L65" s="7"/>
      <c r="M65" s="7"/>
      <c r="N65" s="7"/>
      <c r="O65" s="7"/>
      <c r="P65" s="7"/>
      <c r="Q65" s="7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5"/>
      <c r="B66" s="5"/>
      <c r="C66" s="6"/>
      <c r="D66" s="5"/>
      <c r="E66" s="5"/>
      <c r="F66" s="5"/>
      <c r="G66" s="5"/>
      <c r="H66" s="5"/>
      <c r="I66" s="5"/>
      <c r="J66" s="5"/>
      <c r="K66" s="5"/>
      <c r="L66" s="7"/>
      <c r="M66" s="7"/>
      <c r="N66" s="7"/>
      <c r="O66" s="7"/>
      <c r="P66" s="7"/>
      <c r="Q66" s="7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5"/>
      <c r="B67" s="5"/>
      <c r="C67" s="6"/>
      <c r="D67" s="5"/>
      <c r="E67" s="5"/>
      <c r="F67" s="5"/>
      <c r="G67" s="5"/>
      <c r="H67" s="5"/>
      <c r="I67" s="5"/>
      <c r="J67" s="5"/>
      <c r="K67" s="5"/>
      <c r="L67" s="7"/>
      <c r="M67" s="7"/>
      <c r="N67" s="7"/>
      <c r="O67" s="7"/>
      <c r="P67" s="7"/>
      <c r="Q67" s="7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5"/>
      <c r="B68" s="5"/>
      <c r="C68" s="6"/>
      <c r="D68" s="5"/>
      <c r="E68" s="5"/>
      <c r="F68" s="5"/>
      <c r="G68" s="5"/>
      <c r="H68" s="5"/>
      <c r="I68" s="5"/>
      <c r="J68" s="5"/>
      <c r="K68" s="5"/>
      <c r="L68" s="7"/>
      <c r="M68" s="7"/>
      <c r="N68" s="7"/>
      <c r="O68" s="7"/>
      <c r="P68" s="7"/>
      <c r="Q68" s="7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5"/>
      <c r="B69" s="5"/>
      <c r="C69" s="6"/>
      <c r="D69" s="5"/>
      <c r="E69" s="5"/>
      <c r="F69" s="5"/>
      <c r="G69" s="5"/>
      <c r="H69" s="5"/>
      <c r="I69" s="5"/>
      <c r="J69" s="5"/>
      <c r="K69" s="5"/>
      <c r="L69" s="7"/>
      <c r="M69" s="7"/>
      <c r="N69" s="7"/>
      <c r="O69" s="7"/>
      <c r="P69" s="7"/>
      <c r="Q69" s="7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5"/>
      <c r="B70" s="5"/>
      <c r="C70" s="6"/>
      <c r="D70" s="5"/>
      <c r="E70" s="5"/>
      <c r="F70" s="5"/>
      <c r="G70" s="5"/>
      <c r="H70" s="5"/>
      <c r="I70" s="5"/>
      <c r="J70" s="5"/>
      <c r="K70" s="5"/>
      <c r="L70" s="7"/>
      <c r="M70" s="7"/>
      <c r="N70" s="7"/>
      <c r="O70" s="7"/>
      <c r="P70" s="7"/>
      <c r="Q70" s="7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5"/>
      <c r="B71" s="5"/>
      <c r="C71" s="6"/>
      <c r="D71" s="5"/>
      <c r="E71" s="5"/>
      <c r="F71" s="5"/>
      <c r="G71" s="5"/>
      <c r="H71" s="5"/>
      <c r="I71" s="5"/>
      <c r="J71" s="5"/>
      <c r="K71" s="5"/>
      <c r="L71" s="7"/>
      <c r="M71" s="7"/>
      <c r="N71" s="7"/>
      <c r="O71" s="7"/>
      <c r="P71" s="7"/>
      <c r="Q71" s="7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5"/>
      <c r="B72" s="5"/>
      <c r="C72" s="6"/>
      <c r="D72" s="5"/>
      <c r="E72" s="5"/>
      <c r="F72" s="5"/>
      <c r="G72" s="5"/>
      <c r="H72" s="5"/>
      <c r="I72" s="5"/>
      <c r="J72" s="5"/>
      <c r="K72" s="5"/>
      <c r="L72" s="7"/>
      <c r="M72" s="7"/>
      <c r="N72" s="7"/>
      <c r="O72" s="7"/>
      <c r="P72" s="7"/>
      <c r="Q72" s="7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5"/>
      <c r="B73" s="5"/>
      <c r="C73" s="6"/>
      <c r="D73" s="5"/>
      <c r="E73" s="5"/>
      <c r="F73" s="5"/>
      <c r="G73" s="5"/>
      <c r="H73" s="5"/>
      <c r="I73" s="5"/>
      <c r="J73" s="5"/>
      <c r="K73" s="5"/>
      <c r="L73" s="7"/>
      <c r="M73" s="7"/>
      <c r="N73" s="7"/>
      <c r="O73" s="7"/>
      <c r="P73" s="7"/>
      <c r="Q73" s="7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5"/>
      <c r="B74" s="5"/>
      <c r="C74" s="6"/>
      <c r="D74" s="5"/>
      <c r="E74" s="5"/>
      <c r="F74" s="5"/>
      <c r="G74" s="5"/>
      <c r="H74" s="5"/>
      <c r="I74" s="5"/>
      <c r="J74" s="5"/>
      <c r="K74" s="5"/>
      <c r="L74" s="7"/>
      <c r="M74" s="7"/>
      <c r="N74" s="7"/>
      <c r="O74" s="7"/>
      <c r="P74" s="7"/>
      <c r="Q74" s="7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5"/>
      <c r="B75" s="5"/>
      <c r="C75" s="6"/>
      <c r="D75" s="5"/>
      <c r="E75" s="5"/>
      <c r="F75" s="5"/>
      <c r="G75" s="5"/>
      <c r="H75" s="5"/>
      <c r="I75" s="5"/>
      <c r="J75" s="5"/>
      <c r="K75" s="5"/>
      <c r="L75" s="7"/>
      <c r="M75" s="7"/>
      <c r="N75" s="7"/>
      <c r="O75" s="7"/>
      <c r="P75" s="7"/>
      <c r="Q75" s="7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5"/>
      <c r="B76" s="5"/>
      <c r="C76" s="6"/>
      <c r="D76" s="5"/>
      <c r="E76" s="5"/>
      <c r="F76" s="5"/>
      <c r="G76" s="5"/>
      <c r="H76" s="5"/>
      <c r="I76" s="5"/>
      <c r="J76" s="5"/>
      <c r="K76" s="5"/>
      <c r="L76" s="7"/>
      <c r="M76" s="7"/>
      <c r="N76" s="7"/>
      <c r="O76" s="7"/>
      <c r="P76" s="7"/>
      <c r="Q76" s="7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5"/>
      <c r="B77" s="5"/>
      <c r="C77" s="6"/>
      <c r="D77" s="5"/>
      <c r="E77" s="5"/>
      <c r="F77" s="5"/>
      <c r="G77" s="5"/>
      <c r="H77" s="5"/>
      <c r="I77" s="5"/>
      <c r="J77" s="5"/>
      <c r="K77" s="5"/>
      <c r="L77" s="7"/>
      <c r="M77" s="7"/>
      <c r="N77" s="7"/>
      <c r="O77" s="7"/>
      <c r="P77" s="7"/>
      <c r="Q77" s="7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5"/>
      <c r="B78" s="5"/>
      <c r="C78" s="6"/>
      <c r="D78" s="5"/>
      <c r="E78" s="5"/>
      <c r="F78" s="5"/>
      <c r="G78" s="5"/>
      <c r="H78" s="5"/>
      <c r="I78" s="5"/>
      <c r="J78" s="5"/>
      <c r="K78" s="5"/>
      <c r="L78" s="7"/>
      <c r="M78" s="7"/>
      <c r="N78" s="7"/>
      <c r="O78" s="7"/>
      <c r="P78" s="7"/>
      <c r="Q78" s="7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5"/>
      <c r="B79" s="5"/>
      <c r="C79" s="6"/>
      <c r="D79" s="5"/>
      <c r="E79" s="5"/>
      <c r="F79" s="5"/>
      <c r="G79" s="5"/>
      <c r="H79" s="5"/>
      <c r="I79" s="5"/>
      <c r="J79" s="5"/>
      <c r="K79" s="5"/>
      <c r="L79" s="7"/>
      <c r="M79" s="7"/>
      <c r="N79" s="7"/>
      <c r="O79" s="7"/>
      <c r="P79" s="7"/>
      <c r="Q79" s="7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5"/>
      <c r="B80" s="5"/>
      <c r="C80" s="6"/>
      <c r="D80" s="5"/>
      <c r="E80" s="5"/>
      <c r="F80" s="5"/>
      <c r="G80" s="5"/>
      <c r="H80" s="5"/>
      <c r="I80" s="5"/>
      <c r="J80" s="5"/>
      <c r="K80" s="5"/>
      <c r="L80" s="7"/>
      <c r="M80" s="7"/>
      <c r="N80" s="7"/>
      <c r="O80" s="7"/>
      <c r="P80" s="7"/>
      <c r="Q80" s="7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5"/>
      <c r="B81" s="5"/>
      <c r="C81" s="6"/>
      <c r="D81" s="5"/>
      <c r="E81" s="5"/>
      <c r="F81" s="5"/>
      <c r="G81" s="5"/>
      <c r="H81" s="5"/>
      <c r="I81" s="5"/>
      <c r="J81" s="5"/>
      <c r="K81" s="5"/>
      <c r="L81" s="7"/>
      <c r="M81" s="7"/>
      <c r="N81" s="7"/>
      <c r="O81" s="7"/>
      <c r="P81" s="7"/>
      <c r="Q81" s="7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5"/>
      <c r="B82" s="5"/>
      <c r="C82" s="6"/>
      <c r="D82" s="5"/>
      <c r="E82" s="5"/>
      <c r="F82" s="5"/>
      <c r="G82" s="5"/>
      <c r="H82" s="5"/>
      <c r="I82" s="5"/>
      <c r="J82" s="5"/>
      <c r="K82" s="5"/>
      <c r="L82" s="7"/>
      <c r="M82" s="7"/>
      <c r="N82" s="7"/>
      <c r="O82" s="7"/>
      <c r="P82" s="7"/>
      <c r="Q82" s="7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5"/>
      <c r="B83" s="5"/>
      <c r="C83" s="6"/>
      <c r="D83" s="5"/>
      <c r="E83" s="5"/>
      <c r="F83" s="5"/>
      <c r="G83" s="5"/>
      <c r="H83" s="5"/>
      <c r="I83" s="5"/>
      <c r="J83" s="5"/>
      <c r="K83" s="5"/>
      <c r="L83" s="7"/>
      <c r="M83" s="7"/>
      <c r="N83" s="7"/>
      <c r="O83" s="7"/>
      <c r="P83" s="7"/>
      <c r="Q83" s="7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5"/>
      <c r="B84" s="5"/>
      <c r="C84" s="6"/>
      <c r="D84" s="5"/>
      <c r="E84" s="5"/>
      <c r="F84" s="5"/>
      <c r="G84" s="5"/>
      <c r="H84" s="5"/>
      <c r="I84" s="5"/>
      <c r="J84" s="5"/>
      <c r="K84" s="5"/>
      <c r="L84" s="7"/>
      <c r="M84" s="7"/>
      <c r="N84" s="7"/>
      <c r="O84" s="7"/>
      <c r="P84" s="7"/>
      <c r="Q84" s="7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5"/>
      <c r="B85" s="5"/>
      <c r="C85" s="6"/>
      <c r="D85" s="5"/>
      <c r="E85" s="5"/>
      <c r="F85" s="5"/>
      <c r="G85" s="5"/>
      <c r="H85" s="5"/>
      <c r="I85" s="5"/>
      <c r="J85" s="5"/>
      <c r="K85" s="5"/>
      <c r="L85" s="7"/>
      <c r="M85" s="7"/>
      <c r="N85" s="7"/>
      <c r="O85" s="7"/>
      <c r="P85" s="7"/>
      <c r="Q85" s="7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5"/>
      <c r="B86" s="5"/>
      <c r="C86" s="6"/>
      <c r="D86" s="5"/>
      <c r="E86" s="5"/>
      <c r="F86" s="5"/>
      <c r="G86" s="5"/>
      <c r="H86" s="5"/>
      <c r="I86" s="5"/>
      <c r="J86" s="5"/>
      <c r="K86" s="5"/>
      <c r="L86" s="7"/>
      <c r="M86" s="7"/>
      <c r="N86" s="7"/>
      <c r="O86" s="7"/>
      <c r="P86" s="7"/>
      <c r="Q86" s="7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5"/>
      <c r="B87" s="5"/>
      <c r="C87" s="6"/>
      <c r="D87" s="5"/>
      <c r="E87" s="5"/>
      <c r="F87" s="5"/>
      <c r="G87" s="5"/>
      <c r="H87" s="5"/>
      <c r="I87" s="5"/>
      <c r="J87" s="5"/>
      <c r="K87" s="5"/>
      <c r="L87" s="7"/>
      <c r="M87" s="7"/>
      <c r="N87" s="7"/>
      <c r="O87" s="7"/>
      <c r="P87" s="7"/>
      <c r="Q87" s="7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5"/>
      <c r="B88" s="5"/>
      <c r="C88" s="6"/>
      <c r="D88" s="5"/>
      <c r="E88" s="5"/>
      <c r="F88" s="5"/>
      <c r="G88" s="5"/>
      <c r="H88" s="5"/>
      <c r="I88" s="5"/>
      <c r="J88" s="5"/>
      <c r="K88" s="5"/>
      <c r="L88" s="7"/>
      <c r="M88" s="7"/>
      <c r="N88" s="7"/>
      <c r="O88" s="7"/>
      <c r="P88" s="7"/>
      <c r="Q88" s="7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5"/>
      <c r="B89" s="5"/>
      <c r="C89" s="6"/>
      <c r="D89" s="5"/>
      <c r="E89" s="5"/>
      <c r="F89" s="5"/>
      <c r="G89" s="5"/>
      <c r="H89" s="5"/>
      <c r="I89" s="5"/>
      <c r="J89" s="5"/>
      <c r="K89" s="5"/>
      <c r="L89" s="7"/>
      <c r="M89" s="7"/>
      <c r="N89" s="7"/>
      <c r="O89" s="7"/>
      <c r="P89" s="7"/>
      <c r="Q89" s="7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5"/>
      <c r="B90" s="5"/>
      <c r="C90" s="6"/>
      <c r="D90" s="5"/>
      <c r="E90" s="5"/>
      <c r="F90" s="5"/>
      <c r="G90" s="5"/>
      <c r="H90" s="5"/>
      <c r="I90" s="5"/>
      <c r="J90" s="5"/>
      <c r="K90" s="5"/>
      <c r="L90" s="7"/>
      <c r="M90" s="7"/>
      <c r="N90" s="7"/>
      <c r="O90" s="7"/>
      <c r="P90" s="7"/>
      <c r="Q90" s="7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5"/>
      <c r="B91" s="5"/>
      <c r="C91" s="6"/>
      <c r="D91" s="5"/>
      <c r="E91" s="5"/>
      <c r="F91" s="5"/>
      <c r="G91" s="5"/>
      <c r="H91" s="5"/>
      <c r="I91" s="5"/>
      <c r="J91" s="5"/>
      <c r="K91" s="5"/>
      <c r="L91" s="7"/>
      <c r="M91" s="7"/>
      <c r="N91" s="7"/>
      <c r="O91" s="7"/>
      <c r="P91" s="7"/>
      <c r="Q91" s="7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5"/>
      <c r="B92" s="5"/>
      <c r="C92" s="6"/>
      <c r="D92" s="5"/>
      <c r="E92" s="5"/>
      <c r="F92" s="5"/>
      <c r="G92" s="5"/>
      <c r="H92" s="5"/>
      <c r="I92" s="5"/>
      <c r="J92" s="5"/>
      <c r="K92" s="5"/>
      <c r="L92" s="7"/>
      <c r="M92" s="7"/>
      <c r="N92" s="7"/>
      <c r="O92" s="7"/>
      <c r="P92" s="7"/>
      <c r="Q92" s="7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5"/>
      <c r="B93" s="5"/>
      <c r="C93" s="6"/>
      <c r="D93" s="5"/>
      <c r="E93" s="5"/>
      <c r="F93" s="5"/>
      <c r="G93" s="5"/>
      <c r="H93" s="5"/>
      <c r="I93" s="5"/>
      <c r="J93" s="5"/>
      <c r="K93" s="5"/>
      <c r="L93" s="7"/>
      <c r="M93" s="7"/>
      <c r="N93" s="7"/>
      <c r="O93" s="7"/>
      <c r="P93" s="7"/>
      <c r="Q93" s="7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5"/>
      <c r="B94" s="5"/>
      <c r="C94" s="6"/>
      <c r="D94" s="5"/>
      <c r="E94" s="5"/>
      <c r="F94" s="5"/>
      <c r="G94" s="5"/>
      <c r="H94" s="5"/>
      <c r="I94" s="5"/>
      <c r="J94" s="5"/>
      <c r="K94" s="5"/>
      <c r="L94" s="7"/>
      <c r="M94" s="7"/>
      <c r="N94" s="7"/>
      <c r="O94" s="7"/>
      <c r="P94" s="7"/>
      <c r="Q94" s="7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5"/>
      <c r="B95" s="5"/>
      <c r="C95" s="6"/>
      <c r="D95" s="5"/>
      <c r="E95" s="5"/>
      <c r="F95" s="5"/>
      <c r="G95" s="5"/>
      <c r="H95" s="5"/>
      <c r="I95" s="5"/>
      <c r="J95" s="5"/>
      <c r="K95" s="5"/>
      <c r="L95" s="7"/>
      <c r="M95" s="7"/>
      <c r="N95" s="7"/>
      <c r="O95" s="7"/>
      <c r="P95" s="7"/>
      <c r="Q95" s="7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5"/>
      <c r="B96" s="5"/>
      <c r="C96" s="6"/>
      <c r="D96" s="5"/>
      <c r="E96" s="5"/>
      <c r="F96" s="5"/>
      <c r="G96" s="5"/>
      <c r="H96" s="5"/>
      <c r="I96" s="5"/>
      <c r="J96" s="5"/>
      <c r="K96" s="5"/>
      <c r="L96" s="7"/>
      <c r="M96" s="7"/>
      <c r="N96" s="7"/>
      <c r="O96" s="7"/>
      <c r="P96" s="7"/>
      <c r="Q96" s="7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5"/>
      <c r="B97" s="5"/>
      <c r="C97" s="6"/>
      <c r="D97" s="5"/>
      <c r="E97" s="5"/>
      <c r="F97" s="5"/>
      <c r="G97" s="5"/>
      <c r="H97" s="5"/>
      <c r="I97" s="5"/>
      <c r="J97" s="5"/>
      <c r="K97" s="5"/>
      <c r="L97" s="7"/>
      <c r="M97" s="7"/>
      <c r="N97" s="7"/>
      <c r="O97" s="7"/>
      <c r="P97" s="7"/>
      <c r="Q97" s="7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5"/>
      <c r="B98" s="5"/>
      <c r="C98" s="6"/>
      <c r="D98" s="5"/>
      <c r="E98" s="5"/>
      <c r="F98" s="5"/>
      <c r="G98" s="5"/>
      <c r="H98" s="5"/>
      <c r="I98" s="5"/>
      <c r="J98" s="5"/>
      <c r="K98" s="5"/>
      <c r="L98" s="7"/>
      <c r="M98" s="7"/>
      <c r="N98" s="7"/>
      <c r="O98" s="7"/>
      <c r="P98" s="7"/>
      <c r="Q98" s="7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5"/>
      <c r="B99" s="5"/>
      <c r="C99" s="6"/>
      <c r="D99" s="5"/>
      <c r="E99" s="5"/>
      <c r="F99" s="5"/>
      <c r="G99" s="5"/>
      <c r="H99" s="5"/>
      <c r="I99" s="5"/>
      <c r="J99" s="5"/>
      <c r="K99" s="5"/>
      <c r="L99" s="7"/>
      <c r="M99" s="7"/>
      <c r="N99" s="7"/>
      <c r="O99" s="7"/>
      <c r="P99" s="7"/>
      <c r="Q99" s="7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5"/>
      <c r="B100" s="5"/>
      <c r="C100" s="6"/>
      <c r="D100" s="5"/>
      <c r="E100" s="5"/>
      <c r="F100" s="5"/>
      <c r="G100" s="5"/>
      <c r="H100" s="5"/>
      <c r="I100" s="5"/>
      <c r="J100" s="5"/>
      <c r="K100" s="5"/>
      <c r="L100" s="7"/>
      <c r="M100" s="7"/>
      <c r="N100" s="7"/>
      <c r="O100" s="7"/>
      <c r="P100" s="7"/>
      <c r="Q100" s="7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</sheetData>
  <mergeCells count="2">
    <mergeCell ref="A1:T1"/>
    <mergeCell ref="A2:T2"/>
  </mergeCells>
  <dataValidations count="2">
    <dataValidation type="list" sqref="E5:E100">
      <formula1>"K2CO3,KHCO3,KOH,H2O,其他"</formula1>
    </dataValidation>
    <dataValidation type="list" sqref="R5:R100">
      <formula1>"是,否"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20"/>
  <sheetViews>
    <sheetView workbookViewId="0">
      <selection activeCell="F19" sqref="$A1:$XFD1048576"/>
    </sheetView>
  </sheetViews>
  <sheetFormatPr defaultColWidth="9" defaultRowHeight="14"/>
  <cols>
    <col min="1" max="1" width="18" customWidth="1"/>
    <col min="2" max="2" width="22" customWidth="1"/>
    <col min="3" max="3" width="36" customWidth="1"/>
    <col min="4" max="4" width="18" customWidth="1"/>
    <col min="5" max="5" width="12" customWidth="1"/>
    <col min="6" max="6" width="36" customWidth="1"/>
  </cols>
  <sheetData>
    <row r="1" ht="30" customHeight="1" spans="1:26">
      <c r="A1" s="1" t="s">
        <v>342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4" customHeight="1" spans="1:26">
      <c r="A2" s="3" t="s">
        <v>343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6" customHeight="1" spans="1:26">
      <c r="A4" s="4" t="s">
        <v>344</v>
      </c>
      <c r="B4" s="4" t="s">
        <v>345</v>
      </c>
      <c r="C4" s="4" t="s">
        <v>346</v>
      </c>
      <c r="D4" s="4" t="s">
        <v>347</v>
      </c>
      <c r="E4" s="4" t="s">
        <v>348</v>
      </c>
      <c r="F4" s="4" t="s">
        <v>299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16</v>
      </c>
      <c r="B5" s="2" t="s">
        <v>36</v>
      </c>
      <c r="C5" s="2" t="s">
        <v>349</v>
      </c>
      <c r="D5" s="2" t="s">
        <v>350</v>
      </c>
      <c r="E5" s="2" t="s">
        <v>102</v>
      </c>
      <c r="F5" s="2" t="s">
        <v>351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16</v>
      </c>
      <c r="B6" s="2" t="s">
        <v>37</v>
      </c>
      <c r="C6" s="2" t="s">
        <v>352</v>
      </c>
      <c r="D6" s="2" t="s">
        <v>353</v>
      </c>
      <c r="E6" s="2" t="s">
        <v>102</v>
      </c>
      <c r="F6" s="2" t="s">
        <v>354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16</v>
      </c>
      <c r="B7" s="2" t="s">
        <v>355</v>
      </c>
      <c r="C7" s="2" t="s">
        <v>356</v>
      </c>
      <c r="D7" s="2" t="s">
        <v>357</v>
      </c>
      <c r="E7" s="2" t="s">
        <v>102</v>
      </c>
      <c r="F7" s="2" t="s">
        <v>354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20</v>
      </c>
      <c r="B8" s="2" t="s">
        <v>88</v>
      </c>
      <c r="C8" s="2" t="s">
        <v>358</v>
      </c>
      <c r="D8" s="2" t="s">
        <v>359</v>
      </c>
      <c r="E8" s="2" t="s">
        <v>102</v>
      </c>
      <c r="F8" s="2" t="s">
        <v>360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20</v>
      </c>
      <c r="B9" s="2" t="s">
        <v>89</v>
      </c>
      <c r="C9" s="2" t="s">
        <v>361</v>
      </c>
      <c r="D9" s="2" t="s">
        <v>362</v>
      </c>
      <c r="E9" s="2" t="s">
        <v>102</v>
      </c>
      <c r="F9" s="2" t="s">
        <v>363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24</v>
      </c>
      <c r="B10" s="2" t="s">
        <v>291</v>
      </c>
      <c r="C10" s="2" t="s">
        <v>364</v>
      </c>
      <c r="D10" s="2" t="s">
        <v>359</v>
      </c>
      <c r="E10" s="2" t="s">
        <v>365</v>
      </c>
      <c r="F10" s="2" t="s">
        <v>354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 t="s">
        <v>28</v>
      </c>
      <c r="B11" s="2" t="s">
        <v>291</v>
      </c>
      <c r="C11" s="2" t="s">
        <v>366</v>
      </c>
      <c r="D11" s="2" t="s">
        <v>359</v>
      </c>
      <c r="E11" s="2" t="s">
        <v>367</v>
      </c>
      <c r="F11" s="2" t="s">
        <v>368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 t="s">
        <v>369</v>
      </c>
      <c r="B12" s="2" t="s">
        <v>325</v>
      </c>
      <c r="C12" s="2" t="s">
        <v>370</v>
      </c>
      <c r="D12" s="2" t="s">
        <v>359</v>
      </c>
      <c r="E12" s="2" t="s">
        <v>371</v>
      </c>
      <c r="F12" s="2" t="s">
        <v>354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 t="s">
        <v>372</v>
      </c>
      <c r="B13" s="2" t="s">
        <v>338</v>
      </c>
      <c r="C13" s="2" t="s">
        <v>373</v>
      </c>
      <c r="D13" s="2" t="s">
        <v>374</v>
      </c>
      <c r="E13" s="2" t="s">
        <v>102</v>
      </c>
      <c r="F13" s="2" t="s">
        <v>375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 t="s">
        <v>372</v>
      </c>
      <c r="B14" s="2" t="s">
        <v>339</v>
      </c>
      <c r="C14" s="2" t="s">
        <v>376</v>
      </c>
      <c r="D14" s="2" t="s">
        <v>377</v>
      </c>
      <c r="E14" s="2" t="s">
        <v>102</v>
      </c>
      <c r="F14" s="2" t="s">
        <v>375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</sheetData>
  <mergeCells count="2">
    <mergeCell ref="A1:F1"/>
    <mergeCell ref="A2:F2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使用说明</vt:lpstr>
      <vt:lpstr>01_电沉积参数</vt:lpstr>
      <vt:lpstr>02_SEM图像信息</vt:lpstr>
      <vt:lpstr>03_SEM单图结果</vt:lpstr>
      <vt:lpstr>04_SEM样品汇总</vt:lpstr>
      <vt:lpstr>05_PTFE溅射参数</vt:lpstr>
      <vt:lpstr>06_电化学测试</vt:lpstr>
      <vt:lpstr>字段说明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临江仙</cp:lastModifiedBy>
  <dcterms:created xsi:type="dcterms:W3CDTF">2026-05-19T06:45:00Z</dcterms:created>
  <dcterms:modified xsi:type="dcterms:W3CDTF">2026-05-21T01:01:03Z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9B1F60AE9A444AA0A1042A1DA579762F_13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